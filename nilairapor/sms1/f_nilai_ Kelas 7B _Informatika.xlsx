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 BAYU\DATA SEMSETER 1 TA 2025 2026\RAPOR KELAS 7\SEMESTER 1\IMPOR NILAI\"/>
    </mc:Choice>
  </mc:AlternateContent>
  <xr:revisionPtr revIDLastSave="0" documentId="13_ncr:1_{D257EE21-3A04-4C14-BD61-675EC1F42C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" l="1"/>
  <c r="L38" i="1"/>
  <c r="N38" i="1" s="1"/>
  <c r="M37" i="1"/>
  <c r="L37" i="1"/>
  <c r="N37" i="1" s="1"/>
  <c r="M36" i="1"/>
  <c r="L36" i="1"/>
  <c r="N36" i="1" s="1"/>
  <c r="M35" i="1"/>
  <c r="L35" i="1"/>
  <c r="N35" i="1" s="1"/>
  <c r="M34" i="1"/>
  <c r="L34" i="1"/>
  <c r="N34" i="1" s="1"/>
  <c r="M33" i="1"/>
  <c r="L33" i="1"/>
  <c r="N33" i="1" s="1"/>
  <c r="M32" i="1"/>
  <c r="L32" i="1"/>
  <c r="N32" i="1" s="1"/>
  <c r="M31" i="1"/>
  <c r="L31" i="1"/>
  <c r="N31" i="1" s="1"/>
  <c r="M30" i="1"/>
  <c r="L30" i="1"/>
  <c r="M29" i="1"/>
  <c r="L29" i="1"/>
  <c r="N29" i="1" s="1"/>
  <c r="M28" i="1"/>
  <c r="L28" i="1"/>
  <c r="N28" i="1" s="1"/>
  <c r="M27" i="1"/>
  <c r="L27" i="1"/>
  <c r="N27" i="1" s="1"/>
  <c r="M26" i="1"/>
  <c r="L26" i="1"/>
  <c r="M25" i="1"/>
  <c r="L25" i="1"/>
  <c r="N25" i="1" s="1"/>
  <c r="M24" i="1"/>
  <c r="L24" i="1"/>
  <c r="N24" i="1" s="1"/>
  <c r="M23" i="1"/>
  <c r="L23" i="1"/>
  <c r="N23" i="1" s="1"/>
  <c r="M22" i="1"/>
  <c r="L22" i="1"/>
  <c r="N22" i="1" s="1"/>
  <c r="M21" i="1"/>
  <c r="L21" i="1"/>
  <c r="N21" i="1" s="1"/>
  <c r="M20" i="1"/>
  <c r="L20" i="1"/>
  <c r="M19" i="1"/>
  <c r="L19" i="1"/>
  <c r="N19" i="1" s="1"/>
  <c r="M18" i="1"/>
  <c r="L18" i="1"/>
  <c r="N18" i="1" s="1"/>
  <c r="M17" i="1"/>
  <c r="L17" i="1"/>
  <c r="N17" i="1" s="1"/>
  <c r="M16" i="1"/>
  <c r="L16" i="1"/>
  <c r="N16" i="1" s="1"/>
  <c r="M15" i="1"/>
  <c r="L15" i="1"/>
  <c r="N15" i="1" s="1"/>
  <c r="M14" i="1"/>
  <c r="L14" i="1"/>
  <c r="N14" i="1" s="1"/>
  <c r="M13" i="1"/>
  <c r="L13" i="1"/>
  <c r="N13" i="1" s="1"/>
  <c r="M12" i="1"/>
  <c r="L12" i="1"/>
  <c r="N12" i="1" s="1"/>
  <c r="M11" i="1"/>
  <c r="L11" i="1"/>
  <c r="N11" i="1" s="1"/>
  <c r="M10" i="1"/>
  <c r="L10" i="1"/>
  <c r="N10" i="1" s="1"/>
  <c r="M9" i="1"/>
  <c r="L9" i="1"/>
  <c r="M8" i="1"/>
  <c r="L8" i="1"/>
  <c r="N8" i="1" s="1"/>
  <c r="M7" i="1"/>
  <c r="L7" i="1"/>
  <c r="N9" i="1" l="1"/>
  <c r="N20" i="1"/>
  <c r="N26" i="1"/>
  <c r="N30" i="1"/>
  <c r="N7" i="1"/>
</calcChain>
</file>

<file path=xl/sharedStrings.xml><?xml version="1.0" encoding="utf-8"?>
<sst xmlns="http://schemas.openxmlformats.org/spreadsheetml/2006/main" count="292" uniqueCount="164">
  <si>
    <t xml:space="preserve">FORMAT IMPORT NILAI RAPOR INFORMATIKA, KELAS  KELAS 7B </t>
  </si>
  <si>
    <t>8971885b-d191-4efb-9003-bc0bc771d1cd</t>
  </si>
  <si>
    <t>NO</t>
  </si>
  <si>
    <t>NILRPT</t>
  </si>
  <si>
    <t>NISN</t>
  </si>
  <si>
    <t>NAMA SISWA</t>
  </si>
  <si>
    <t>NILAI RAPOR</t>
  </si>
  <si>
    <t>TINGKAT KETERCAPAIAN TP</t>
  </si>
  <si>
    <t>cba8d1bb-3655-4956-b1fa-29a6b9af18ea</t>
  </si>
  <si>
    <t xml:space="preserve">memanfaatkan TIK antar muka pengguna, surel, peramban pencarian informasi, dan aplikasi perkantoran </t>
  </si>
  <si>
    <t>TP.711</t>
  </si>
  <si>
    <t>c8dbf5c6-b4cd-4993-a502-095f289c3df5</t>
  </si>
  <si>
    <t xml:space="preserve">menjelaskan komponen, fungsi, cara kerja komputer (sistem komputasi), dan memahami kodifikasi data </t>
  </si>
  <si>
    <t>TP.713</t>
  </si>
  <si>
    <t>40895aa8-9ac4-4107-ba56-0e0223db1aba</t>
  </si>
  <si>
    <t>Memahami dampak positif dan negatif teknologi informasi, keamanan data pribadi dan berkolaborasi.</t>
  </si>
  <si>
    <t>TP.714</t>
  </si>
  <si>
    <t>eed91b03-902c-4e3f-bcb8-8d2bd4451e2f</t>
  </si>
  <si>
    <t>mengenal konektivitas internet, jaringan lokal, dan komunikasi data, serta memahami enkripsi data</t>
  </si>
  <si>
    <t>TP.715</t>
  </si>
  <si>
    <t>VALIDASI</t>
  </si>
  <si>
    <t>TR</t>
  </si>
  <si>
    <t>OP</t>
  </si>
  <si>
    <t>NILAI</t>
  </si>
  <si>
    <t>2006123c-4919-4e75-baca-ad62a045c820</t>
  </si>
  <si>
    <t>2134a9fc-f3e3-4841-bc3d-c632ce075a1d</t>
  </si>
  <si>
    <t>3127031061</t>
  </si>
  <si>
    <t>ADAM YASFI RIDHO</t>
  </si>
  <si>
    <t>a234d8c6-d125-4945-a8e2-562ec03efdb2</t>
  </si>
  <si>
    <t>d5ead624-03e5-4462-b39b-b1eb48b2f8ca</t>
  </si>
  <si>
    <t>0125921378</t>
  </si>
  <si>
    <t>AMELIA RAMADHANI</t>
  </si>
  <si>
    <t>207a33b1-d0f0-4221-b98d-8ca20c913845</t>
  </si>
  <si>
    <t>7cf91249-6ff8-4dee-9bf4-6a5ea606f075</t>
  </si>
  <si>
    <t>0134275011</t>
  </si>
  <si>
    <t>ANISA EKA PERTIWI</t>
  </si>
  <si>
    <t>957636c2-9d51-4546-a3a8-d0b43f93d8fd</t>
  </si>
  <si>
    <t>415e972e-7205-4877-a9f2-01b1d68725c0</t>
  </si>
  <si>
    <t>3123154118</t>
  </si>
  <si>
    <t>CALLYSTA AIRA CAREENA</t>
  </si>
  <si>
    <t>b45c2f48-9415-4a8d-916d-5c5fded8036b</t>
  </si>
  <si>
    <t>e2c35727-afd5-4fab-adc8-0013c3caae66</t>
  </si>
  <si>
    <t>0125346869</t>
  </si>
  <si>
    <t>ERLANGGA CAHAYA PURNAMA</t>
  </si>
  <si>
    <t>7d261504-200e-48ff-98e1-a946ed9f14e8</t>
  </si>
  <si>
    <t>10d2f03f-de1c-440e-9924-5976e78c06fa</t>
  </si>
  <si>
    <t>0124910667</t>
  </si>
  <si>
    <t>HAFIZH PRASETYO</t>
  </si>
  <si>
    <t>95509a1c-924f-4ee6-9b5d-707947b241af</t>
  </si>
  <si>
    <t>8deb7863-e5a8-444f-b82a-12fa933037f6</t>
  </si>
  <si>
    <t>3124350546</t>
  </si>
  <si>
    <t>KAMELA KHAIRUNNISA</t>
  </si>
  <si>
    <t>fa15d498-05ab-44bb-ac2f-9c292b2824e4</t>
  </si>
  <si>
    <t>179e39f2-ef75-491a-9b4b-417b812a3182</t>
  </si>
  <si>
    <t>0123857639</t>
  </si>
  <si>
    <t>KHALIFA ARKANANTA JANGKARU WARDANI</t>
  </si>
  <si>
    <t>dc331f42-3072-4fdf-9184-1291518db046</t>
  </si>
  <si>
    <t>daa0d9ea-d1a7-40ca-a360-229567976d62</t>
  </si>
  <si>
    <t>0126297432</t>
  </si>
  <si>
    <t>KIREINA ESKA NUGROHO</t>
  </si>
  <si>
    <t>c2524bb3-aa20-49a8-9d5c-b3b1a0797081</t>
  </si>
  <si>
    <t>71687d6c-30e2-41b0-afa9-de3c7647efe6</t>
  </si>
  <si>
    <t>0123561668</t>
  </si>
  <si>
    <t>KUNI KHUSNA FAODA</t>
  </si>
  <si>
    <t>5cd49789-dddf-4587-9512-241c769abd92</t>
  </si>
  <si>
    <t>066dcc87-c2f9-4f2e-8762-abd5230b0ad7</t>
  </si>
  <si>
    <t>3136680590</t>
  </si>
  <si>
    <t>LEKHA MEISA</t>
  </si>
  <si>
    <t>654c1680-1077-40c3-b621-854077112a7e</t>
  </si>
  <si>
    <t>75a7dd80-3eb0-42a2-881c-cb49946c1045</t>
  </si>
  <si>
    <t>3136869891</t>
  </si>
  <si>
    <t>M.FARID</t>
  </si>
  <si>
    <t>0ea2a570-403d-4d86-91fb-19ae8a5b44f7</t>
  </si>
  <si>
    <t>0c098de2-776c-4799-92e7-b43e01d7a1d5</t>
  </si>
  <si>
    <t>0136013920</t>
  </si>
  <si>
    <t>MINKA AYUDYA ASSAQEB</t>
  </si>
  <si>
    <t>2611e4e7-b10a-4ef4-9d19-910f6854c164</t>
  </si>
  <si>
    <t>134c94b9-e9c0-46ac-93c6-1bdc51d451aa</t>
  </si>
  <si>
    <t>0136450334</t>
  </si>
  <si>
    <t>MUHAMAD ARSYA FEBRIAN</t>
  </si>
  <si>
    <t>95428cda-4642-4322-bb3b-963d274a0268</t>
  </si>
  <si>
    <t>c8bb1f0e-6c3d-4084-826f-8c01208e9766</t>
  </si>
  <si>
    <t>0126801767</t>
  </si>
  <si>
    <t>MUHAMAD MAULANA AJIZAN</t>
  </si>
  <si>
    <t>c9df202c-a199-4ba4-b7a6-99dd283b5a18</t>
  </si>
  <si>
    <t>edf7de57-d61e-433f-b604-022777a80043</t>
  </si>
  <si>
    <t>3124356035</t>
  </si>
  <si>
    <t>MUHAMMAD DHIA'ULAMI</t>
  </si>
  <si>
    <t>078adb56-1779-491e-8bc5-8185ff9b1610</t>
  </si>
  <si>
    <t>8502ea7c-6c06-4c02-86a6-30a2fec0c91f</t>
  </si>
  <si>
    <t>0136004701</t>
  </si>
  <si>
    <t>MUHAMMAD NAJMI ALFARISI</t>
  </si>
  <si>
    <t>637159f2-cdca-40f5-8f16-2178ca6147e6</t>
  </si>
  <si>
    <t>9e9350a7-9be7-4167-8a9b-3fb208895d0b</t>
  </si>
  <si>
    <t>0129078098</t>
  </si>
  <si>
    <t>MUKHAMMAD FABIYAN PRATAMA</t>
  </si>
  <si>
    <t>635f3e0e-4459-4cc4-aae5-730937c378bf</t>
  </si>
  <si>
    <t>0880abee-310f-4baa-b2c3-674ff9b7e0f4</t>
  </si>
  <si>
    <t>3124666597</t>
  </si>
  <si>
    <t>NAELA PUTRI OKTA AZAHIRA</t>
  </si>
  <si>
    <t>2e3df28c-1e9c-45dc-8797-e58fd4800136</t>
  </si>
  <si>
    <t>083a1aa0-a17d-4ffe-b70c-d3c58b37f77d</t>
  </si>
  <si>
    <t>0122009487</t>
  </si>
  <si>
    <t>NAJWA PUTRI NAFILA</t>
  </si>
  <si>
    <t>6cd281e3-90e8-4dd6-a653-ac225f1e6a8d</t>
  </si>
  <si>
    <t>341634b3-282e-4ffa-9b89-21e11e19278e</t>
  </si>
  <si>
    <t>0117504472</t>
  </si>
  <si>
    <t>NARGHIS KHOTUN</t>
  </si>
  <si>
    <t>57af2f54-9b55-448e-be70-820089ff8eb8</t>
  </si>
  <si>
    <t>ea1f2bca-f34f-4741-9c26-5beec459251a</t>
  </si>
  <si>
    <t>0131652531</t>
  </si>
  <si>
    <t>NAZAR QIDA NANDIYANSYAH</t>
  </si>
  <si>
    <t>8442ca10-d118-4ccd-a1cd-29e962b177ef</t>
  </si>
  <si>
    <t>8103e3aa-4a14-4cb7-a6e3-1285c314c7e7</t>
  </si>
  <si>
    <t>3127992176</t>
  </si>
  <si>
    <t>PRADIPTA AZQA LAZUARDI</t>
  </si>
  <si>
    <t>77a03f2b-3b9c-4171-8591-6897ae611461</t>
  </si>
  <si>
    <t>fdb94e20-3794-49cd-a950-602731ff7d2b</t>
  </si>
  <si>
    <t>3128592031</t>
  </si>
  <si>
    <t>SALSA ZASKIA ROFIKOH</t>
  </si>
  <si>
    <t>9cbb34e8-58ea-485e-999c-4339b91c90a4</t>
  </si>
  <si>
    <t>a1f7da49-3ea5-4ffa-bcd0-0d65fbb24104</t>
  </si>
  <si>
    <t>0128868738</t>
  </si>
  <si>
    <t>SATRIA REZCKY UTAMA</t>
  </si>
  <si>
    <t>e6ea1e51-00ed-4f59-b1af-cf0640e41343</t>
  </si>
  <si>
    <t>a4201cd5-24bf-41d6-bbbf-74dc623a4d73</t>
  </si>
  <si>
    <t>3125655783</t>
  </si>
  <si>
    <t>SHIDQI MARWAN SANUSI</t>
  </si>
  <si>
    <t>8625e550-3f3a-40c0-bdff-d8354b0b630c</t>
  </si>
  <si>
    <t>17a3225f-bb22-4a92-938c-56008ee44736</t>
  </si>
  <si>
    <t>3122199504</t>
  </si>
  <si>
    <t>SILVI AULIA</t>
  </si>
  <si>
    <t>563e7f75-0e24-4407-9b02-ee75fdc91491</t>
  </si>
  <si>
    <t>b5fef660-1969-4446-bec2-4facba11a6b0</t>
  </si>
  <si>
    <t>0131150152</t>
  </si>
  <si>
    <t>SITI NUR RAHMAWATI</t>
  </si>
  <si>
    <t>8479e2b0-6012-4708-96d5-4ec2dffafc9e</t>
  </si>
  <si>
    <t>9ea7caa7-0b14-4cc7-aa85-188c8e5330e3</t>
  </si>
  <si>
    <t>3131057788</t>
  </si>
  <si>
    <t>SYARIFANA FATIMAH</t>
  </si>
  <si>
    <t>180939a4-5199-4060-b0bb-26524d5259bb</t>
  </si>
  <si>
    <t>710fd41b-cc63-4730-8ef0-84754e2e6cdb</t>
  </si>
  <si>
    <t>0134623249</t>
  </si>
  <si>
    <t>TALITA APRILIA PUTRI</t>
  </si>
  <si>
    <t>fc412660-710c-48f3-9964-4554f18d7b24</t>
  </si>
  <si>
    <t>23f78bb0-8685-4b6d-ba24-5e7ff745c0ef</t>
  </si>
  <si>
    <t>3137202313</t>
  </si>
  <si>
    <t>YUNI SHIDQIYA ALIFA</t>
  </si>
  <si>
    <t>b4195b9a-583a-409c-b84f-72bad4c5488e</t>
  </si>
  <si>
    <t>1ec5ee5c-fa1e-417b-aee3-5c74cec332e8</t>
  </si>
  <si>
    <t>3128896931</t>
  </si>
  <si>
    <t>ZIDNA AZKIA</t>
  </si>
  <si>
    <t>KETERANGAN :</t>
  </si>
  <si>
    <t xml:space="preserve"> &gt; TP.711 : memanfaatkan TIK antar muka pengguna, surel, peramban pencarian informasi, dan aplikasi perkantoran </t>
  </si>
  <si>
    <t xml:space="preserve"> &gt; TP.713 : menjelaskan komponen, fungsi, cara kerja komputer (sistem komputasi), dan memahami kodifikasi data </t>
  </si>
  <si>
    <t xml:space="preserve"> &gt; TP.714 : Memahami dampak positif dan negatif teknologi informasi, keamanan data pribadi dan berkolaborasi.</t>
  </si>
  <si>
    <t xml:space="preserve"> &gt; TP.715 : mengenal konektivitas internet, jaringan lokal, dan komunikasi data, serta memahami enkripsi data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</si>
  <si>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</si>
  <si>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</si>
  <si>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</si>
  <si>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</si>
  <si>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</si>
  <si>
    <t>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</si>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</sst>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zoomScale="70" zoomScaleNormal="70" workbookViewId="0">
      <selection activeCell="Q31" sqref="Q31"/>
    </sheetView>
  </sheetViews>
  <sheetFormatPr defaultRowHeight="15" x14ac:dyDescent="0.25"/>
  <cols>
    <col min="1" max="1" width="5" customWidth="1"/>
    <col min="2" max="4" width="0" hidden="1" customWidth="1"/>
    <col min="5" max="5" width="13" customWidth="1"/>
    <col min="6" max="6" width="41.140625" bestFit="1" customWidth="1"/>
    <col min="7" max="7" width="17.7109375" bestFit="1" customWidth="1"/>
    <col min="8" max="11" width="10" customWidth="1"/>
    <col min="12" max="13" width="0" hidden="1" customWidth="1"/>
    <col min="14" max="14" width="15" customWidth="1"/>
  </cols>
  <sheetData>
    <row r="1" spans="1:14" ht="18.75" x14ac:dyDescent="0.3">
      <c r="A1" s="3" t="s">
        <v>0</v>
      </c>
      <c r="B1">
        <v>14</v>
      </c>
    </row>
    <row r="2" spans="1:14" x14ac:dyDescent="0.25">
      <c r="B2">
        <v>38</v>
      </c>
      <c r="C2" t="s">
        <v>1</v>
      </c>
      <c r="D2">
        <v>700106100</v>
      </c>
    </row>
    <row r="3" spans="1:14" ht="24.95" customHeight="1" x14ac:dyDescent="0.25">
      <c r="A3" s="10" t="s">
        <v>2</v>
      </c>
      <c r="B3" s="10" t="s">
        <v>3</v>
      </c>
      <c r="C3" s="10" t="s">
        <v>3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/>
      <c r="J3" s="10"/>
      <c r="K3" s="10"/>
      <c r="L3" s="10" t="s">
        <v>20</v>
      </c>
      <c r="M3" s="10"/>
      <c r="N3" s="10"/>
    </row>
    <row r="4" spans="1:14" ht="0" hidden="1" customHeight="1" x14ac:dyDescent="0.25">
      <c r="A4" s="11"/>
      <c r="B4" s="11"/>
      <c r="C4" s="11"/>
      <c r="D4" s="11"/>
      <c r="E4" s="11"/>
      <c r="F4" s="11"/>
      <c r="G4" s="12"/>
      <c r="H4" s="8" t="s">
        <v>8</v>
      </c>
      <c r="I4" s="8" t="s">
        <v>11</v>
      </c>
      <c r="J4" s="8" t="s">
        <v>14</v>
      </c>
      <c r="K4" s="8" t="s">
        <v>17</v>
      </c>
      <c r="L4" s="4"/>
      <c r="M4" s="4"/>
      <c r="N4" s="4"/>
    </row>
    <row r="5" spans="1:14" ht="0" hidden="1" customHeight="1" x14ac:dyDescent="0.25">
      <c r="A5" s="11"/>
      <c r="B5" s="11"/>
      <c r="C5" s="11"/>
      <c r="D5" s="11"/>
      <c r="E5" s="11"/>
      <c r="F5" s="11"/>
      <c r="G5" s="12"/>
      <c r="H5" s="8" t="s">
        <v>9</v>
      </c>
      <c r="I5" s="8" t="s">
        <v>12</v>
      </c>
      <c r="J5" s="8" t="s">
        <v>15</v>
      </c>
      <c r="K5" s="8" t="s">
        <v>18</v>
      </c>
      <c r="L5" s="4"/>
      <c r="M5" s="4"/>
      <c r="N5" s="4"/>
    </row>
    <row r="6" spans="1:14" x14ac:dyDescent="0.25">
      <c r="A6" s="11"/>
      <c r="B6" s="11"/>
      <c r="C6" s="11"/>
      <c r="D6" s="11"/>
      <c r="E6" s="11"/>
      <c r="F6" s="11"/>
      <c r="G6" s="12"/>
      <c r="H6" s="8" t="s">
        <v>10</v>
      </c>
      <c r="I6" s="8" t="s">
        <v>13</v>
      </c>
      <c r="J6" s="8" t="s">
        <v>16</v>
      </c>
      <c r="K6" s="8" t="s">
        <v>19</v>
      </c>
      <c r="L6" s="4" t="s">
        <v>21</v>
      </c>
      <c r="M6" s="4" t="s">
        <v>22</v>
      </c>
      <c r="N6" s="4" t="s">
        <v>23</v>
      </c>
    </row>
    <row r="7" spans="1:14" ht="20.100000000000001" customHeight="1" x14ac:dyDescent="0.25">
      <c r="A7" s="5">
        <v>1</v>
      </c>
      <c r="B7" s="5" t="s">
        <v>24</v>
      </c>
      <c r="C7" s="5" t="s">
        <v>25</v>
      </c>
      <c r="D7" s="5">
        <v>1</v>
      </c>
      <c r="E7" s="5" t="s">
        <v>26</v>
      </c>
      <c r="F7" s="5" t="s">
        <v>27</v>
      </c>
      <c r="G7" s="9">
        <v>92</v>
      </c>
      <c r="H7" s="9" t="s">
        <v>163</v>
      </c>
      <c r="I7" s="9" t="s">
        <v>162</v>
      </c>
      <c r="J7" s="9" t="s">
        <v>162</v>
      </c>
      <c r="K7" s="9" t="s">
        <v>163</v>
      </c>
      <c r="L7" s="6">
        <f t="shared" ref="L7:L38" si="0">COUNTIF(H7:K7,"R")</f>
        <v>2</v>
      </c>
      <c r="M7" s="6">
        <f t="shared" ref="M7:M38" si="1">COUNTIF(H7:K7,"T")</f>
        <v>2</v>
      </c>
      <c r="N7" s="7" t="str">
        <f t="shared" ref="N7:N38" si="2">IF(G7="","",IF(G7=100,IF(L7&gt;0,"Tidak Valid",IF((L7+M7)&gt;0,"Valid","Tidak Valid")),IF(L7=0,"Tidak Valid",IF((L7+M7)&gt;0,"Valid","Tidak Valid"))))</f>
        <v>Valid</v>
      </c>
    </row>
    <row r="8" spans="1:14" ht="20.100000000000001" customHeight="1" x14ac:dyDescent="0.25">
      <c r="A8" s="5">
        <v>2</v>
      </c>
      <c r="B8" s="5" t="s">
        <v>28</v>
      </c>
      <c r="C8" s="5" t="s">
        <v>29</v>
      </c>
      <c r="D8" s="5">
        <v>1</v>
      </c>
      <c r="E8" s="5" t="s">
        <v>30</v>
      </c>
      <c r="F8" s="5" t="s">
        <v>31</v>
      </c>
      <c r="G8" s="9">
        <v>86</v>
      </c>
      <c r="H8" s="9" t="s">
        <v>163</v>
      </c>
      <c r="I8" s="9" t="s">
        <v>162</v>
      </c>
      <c r="J8" s="9" t="s">
        <v>163</v>
      </c>
      <c r="K8" s="9" t="s">
        <v>163</v>
      </c>
      <c r="L8" s="6">
        <f t="shared" si="0"/>
        <v>3</v>
      </c>
      <c r="M8" s="6">
        <f t="shared" si="1"/>
        <v>1</v>
      </c>
      <c r="N8" s="7" t="str">
        <f t="shared" si="2"/>
        <v>Valid</v>
      </c>
    </row>
    <row r="9" spans="1:14" ht="20.100000000000001" customHeight="1" x14ac:dyDescent="0.25">
      <c r="A9" s="5">
        <v>3</v>
      </c>
      <c r="B9" s="5" t="s">
        <v>32</v>
      </c>
      <c r="C9" s="5" t="s">
        <v>33</v>
      </c>
      <c r="D9" s="5">
        <v>1</v>
      </c>
      <c r="E9" s="5" t="s">
        <v>34</v>
      </c>
      <c r="F9" s="5" t="s">
        <v>35</v>
      </c>
      <c r="G9" s="9">
        <v>86</v>
      </c>
      <c r="H9" s="9" t="s">
        <v>163</v>
      </c>
      <c r="I9" s="9" t="s">
        <v>163</v>
      </c>
      <c r="J9" s="9" t="s">
        <v>162</v>
      </c>
      <c r="K9" s="9" t="s">
        <v>163</v>
      </c>
      <c r="L9" s="6">
        <f t="shared" si="0"/>
        <v>3</v>
      </c>
      <c r="M9" s="6">
        <f t="shared" si="1"/>
        <v>1</v>
      </c>
      <c r="N9" s="7" t="str">
        <f t="shared" si="2"/>
        <v>Valid</v>
      </c>
    </row>
    <row r="10" spans="1:14" ht="20.100000000000001" customHeight="1" x14ac:dyDescent="0.25">
      <c r="A10" s="5">
        <v>4</v>
      </c>
      <c r="B10" s="5" t="s">
        <v>36</v>
      </c>
      <c r="C10" s="5" t="s">
        <v>37</v>
      </c>
      <c r="D10" s="5">
        <v>1</v>
      </c>
      <c r="E10" s="5" t="s">
        <v>38</v>
      </c>
      <c r="F10" s="5" t="s">
        <v>39</v>
      </c>
      <c r="G10" s="9">
        <v>86</v>
      </c>
      <c r="H10" s="9" t="s">
        <v>163</v>
      </c>
      <c r="I10" s="9" t="s">
        <v>163</v>
      </c>
      <c r="J10" s="9" t="s">
        <v>162</v>
      </c>
      <c r="K10" s="9" t="s">
        <v>163</v>
      </c>
      <c r="L10" s="6">
        <f t="shared" si="0"/>
        <v>3</v>
      </c>
      <c r="M10" s="6">
        <f t="shared" si="1"/>
        <v>1</v>
      </c>
      <c r="N10" s="7" t="str">
        <f t="shared" si="2"/>
        <v>Valid</v>
      </c>
    </row>
    <row r="11" spans="1:14" ht="20.100000000000001" customHeight="1" x14ac:dyDescent="0.25">
      <c r="A11" s="5">
        <v>5</v>
      </c>
      <c r="B11" s="5" t="s">
        <v>40</v>
      </c>
      <c r="C11" s="5" t="s">
        <v>41</v>
      </c>
      <c r="D11" s="5">
        <v>1</v>
      </c>
      <c r="E11" s="5" t="s">
        <v>42</v>
      </c>
      <c r="F11" s="5" t="s">
        <v>43</v>
      </c>
      <c r="G11" s="9">
        <v>79</v>
      </c>
      <c r="H11" s="9" t="s">
        <v>163</v>
      </c>
      <c r="I11" s="9" t="s">
        <v>163</v>
      </c>
      <c r="J11" s="9" t="s">
        <v>162</v>
      </c>
      <c r="K11" s="9" t="s">
        <v>163</v>
      </c>
      <c r="L11" s="6">
        <f t="shared" si="0"/>
        <v>3</v>
      </c>
      <c r="M11" s="6">
        <f t="shared" si="1"/>
        <v>1</v>
      </c>
      <c r="N11" s="7" t="str">
        <f t="shared" si="2"/>
        <v>Valid</v>
      </c>
    </row>
    <row r="12" spans="1:14" ht="20.100000000000001" customHeight="1" x14ac:dyDescent="0.25">
      <c r="A12" s="5">
        <v>6</v>
      </c>
      <c r="B12" s="5" t="s">
        <v>44</v>
      </c>
      <c r="C12" s="5" t="s">
        <v>45</v>
      </c>
      <c r="D12" s="5">
        <v>1</v>
      </c>
      <c r="E12" s="5" t="s">
        <v>46</v>
      </c>
      <c r="F12" s="5" t="s">
        <v>47</v>
      </c>
      <c r="G12" s="9">
        <v>83</v>
      </c>
      <c r="H12" s="9" t="s">
        <v>163</v>
      </c>
      <c r="I12" s="9" t="s">
        <v>163</v>
      </c>
      <c r="J12" s="9" t="s">
        <v>162</v>
      </c>
      <c r="K12" s="9" t="s">
        <v>163</v>
      </c>
      <c r="L12" s="6">
        <f t="shared" si="0"/>
        <v>3</v>
      </c>
      <c r="M12" s="6">
        <f t="shared" si="1"/>
        <v>1</v>
      </c>
      <c r="N12" s="7" t="str">
        <f t="shared" si="2"/>
        <v>Valid</v>
      </c>
    </row>
    <row r="13" spans="1:14" ht="20.100000000000001" customHeight="1" x14ac:dyDescent="0.25">
      <c r="A13" s="5">
        <v>7</v>
      </c>
      <c r="B13" s="5" t="s">
        <v>48</v>
      </c>
      <c r="C13" s="5" t="s">
        <v>49</v>
      </c>
      <c r="D13" s="5">
        <v>1</v>
      </c>
      <c r="E13" s="5" t="s">
        <v>50</v>
      </c>
      <c r="F13" s="5" t="s">
        <v>51</v>
      </c>
      <c r="G13" s="9">
        <v>83</v>
      </c>
      <c r="H13" s="9" t="s">
        <v>163</v>
      </c>
      <c r="I13" s="9" t="s">
        <v>163</v>
      </c>
      <c r="J13" s="9" t="s">
        <v>162</v>
      </c>
      <c r="K13" s="9" t="s">
        <v>163</v>
      </c>
      <c r="L13" s="6">
        <f t="shared" si="0"/>
        <v>3</v>
      </c>
      <c r="M13" s="6">
        <f t="shared" si="1"/>
        <v>1</v>
      </c>
      <c r="N13" s="7" t="str">
        <f t="shared" si="2"/>
        <v>Valid</v>
      </c>
    </row>
    <row r="14" spans="1:14" ht="20.100000000000001" customHeight="1" x14ac:dyDescent="0.25">
      <c r="A14" s="5">
        <v>8</v>
      </c>
      <c r="B14" s="5" t="s">
        <v>52</v>
      </c>
      <c r="C14" s="5" t="s">
        <v>53</v>
      </c>
      <c r="D14" s="5">
        <v>1</v>
      </c>
      <c r="E14" s="5" t="s">
        <v>54</v>
      </c>
      <c r="F14" s="5" t="s">
        <v>55</v>
      </c>
      <c r="G14" s="9">
        <v>86</v>
      </c>
      <c r="H14" s="9" t="s">
        <v>163</v>
      </c>
      <c r="I14" s="9" t="s">
        <v>163</v>
      </c>
      <c r="J14" s="9" t="s">
        <v>162</v>
      </c>
      <c r="K14" s="9" t="s">
        <v>163</v>
      </c>
      <c r="L14" s="6">
        <f t="shared" si="0"/>
        <v>3</v>
      </c>
      <c r="M14" s="6">
        <f t="shared" si="1"/>
        <v>1</v>
      </c>
      <c r="N14" s="7" t="str">
        <f t="shared" si="2"/>
        <v>Valid</v>
      </c>
    </row>
    <row r="15" spans="1:14" ht="20.100000000000001" customHeight="1" x14ac:dyDescent="0.25">
      <c r="A15" s="5">
        <v>9</v>
      </c>
      <c r="B15" s="5" t="s">
        <v>56</v>
      </c>
      <c r="C15" s="5" t="s">
        <v>57</v>
      </c>
      <c r="D15" s="5">
        <v>1</v>
      </c>
      <c r="E15" s="5" t="s">
        <v>58</v>
      </c>
      <c r="F15" s="5" t="s">
        <v>59</v>
      </c>
      <c r="G15" s="9">
        <v>89</v>
      </c>
      <c r="H15" s="9" t="s">
        <v>163</v>
      </c>
      <c r="I15" s="9" t="s">
        <v>162</v>
      </c>
      <c r="J15" s="9" t="s">
        <v>163</v>
      </c>
      <c r="K15" s="9" t="s">
        <v>163</v>
      </c>
      <c r="L15" s="6">
        <f t="shared" si="0"/>
        <v>3</v>
      </c>
      <c r="M15" s="6">
        <f t="shared" si="1"/>
        <v>1</v>
      </c>
      <c r="N15" s="7" t="str">
        <f t="shared" si="2"/>
        <v>Valid</v>
      </c>
    </row>
    <row r="16" spans="1:14" ht="20.100000000000001" customHeight="1" x14ac:dyDescent="0.25">
      <c r="A16" s="5">
        <v>10</v>
      </c>
      <c r="B16" s="5" t="s">
        <v>60</v>
      </c>
      <c r="C16" s="5" t="s">
        <v>61</v>
      </c>
      <c r="D16" s="5">
        <v>1</v>
      </c>
      <c r="E16" s="5" t="s">
        <v>62</v>
      </c>
      <c r="F16" s="5" t="s">
        <v>63</v>
      </c>
      <c r="G16" s="9">
        <v>86</v>
      </c>
      <c r="H16" s="9" t="s">
        <v>163</v>
      </c>
      <c r="I16" s="9" t="s">
        <v>163</v>
      </c>
      <c r="J16" s="9" t="s">
        <v>162</v>
      </c>
      <c r="K16" s="9" t="s">
        <v>163</v>
      </c>
      <c r="L16" s="6">
        <f t="shared" si="0"/>
        <v>3</v>
      </c>
      <c r="M16" s="6">
        <f t="shared" si="1"/>
        <v>1</v>
      </c>
      <c r="N16" s="7" t="str">
        <f t="shared" si="2"/>
        <v>Valid</v>
      </c>
    </row>
    <row r="17" spans="1:14" ht="20.100000000000001" customHeight="1" x14ac:dyDescent="0.25">
      <c r="A17" s="5">
        <v>11</v>
      </c>
      <c r="B17" s="5" t="s">
        <v>64</v>
      </c>
      <c r="C17" s="5" t="s">
        <v>65</v>
      </c>
      <c r="D17" s="5">
        <v>1</v>
      </c>
      <c r="E17" s="5" t="s">
        <v>66</v>
      </c>
      <c r="F17" s="5" t="s">
        <v>67</v>
      </c>
      <c r="G17" s="9">
        <v>83</v>
      </c>
      <c r="H17" s="9" t="s">
        <v>163</v>
      </c>
      <c r="I17" s="9" t="s">
        <v>163</v>
      </c>
      <c r="J17" s="9" t="s">
        <v>162</v>
      </c>
      <c r="K17" s="9" t="s">
        <v>163</v>
      </c>
      <c r="L17" s="6">
        <f t="shared" si="0"/>
        <v>3</v>
      </c>
      <c r="M17" s="6">
        <f t="shared" si="1"/>
        <v>1</v>
      </c>
      <c r="N17" s="7" t="str">
        <f t="shared" si="2"/>
        <v>Valid</v>
      </c>
    </row>
    <row r="18" spans="1:14" ht="20.100000000000001" customHeight="1" x14ac:dyDescent="0.25">
      <c r="A18" s="5">
        <v>12</v>
      </c>
      <c r="B18" s="5" t="s">
        <v>68</v>
      </c>
      <c r="C18" s="5" t="s">
        <v>69</v>
      </c>
      <c r="D18" s="5">
        <v>1</v>
      </c>
      <c r="E18" s="5" t="s">
        <v>70</v>
      </c>
      <c r="F18" s="5" t="s">
        <v>71</v>
      </c>
      <c r="G18" s="9">
        <v>83</v>
      </c>
      <c r="H18" s="9" t="s">
        <v>163</v>
      </c>
      <c r="I18" s="9" t="s">
        <v>163</v>
      </c>
      <c r="J18" s="9" t="s">
        <v>162</v>
      </c>
      <c r="K18" s="9" t="s">
        <v>163</v>
      </c>
      <c r="L18" s="6">
        <f t="shared" si="0"/>
        <v>3</v>
      </c>
      <c r="M18" s="6">
        <f t="shared" si="1"/>
        <v>1</v>
      </c>
      <c r="N18" s="7" t="str">
        <f t="shared" si="2"/>
        <v>Valid</v>
      </c>
    </row>
    <row r="19" spans="1:14" ht="20.100000000000001" customHeight="1" x14ac:dyDescent="0.25">
      <c r="A19" s="5">
        <v>13</v>
      </c>
      <c r="B19" s="5" t="s">
        <v>72</v>
      </c>
      <c r="C19" s="5" t="s">
        <v>73</v>
      </c>
      <c r="D19" s="5">
        <v>1</v>
      </c>
      <c r="E19" s="5" t="s">
        <v>74</v>
      </c>
      <c r="F19" s="5" t="s">
        <v>75</v>
      </c>
      <c r="G19" s="9">
        <v>85</v>
      </c>
      <c r="H19" s="9" t="s">
        <v>163</v>
      </c>
      <c r="I19" s="9" t="s">
        <v>163</v>
      </c>
      <c r="J19" s="9" t="s">
        <v>162</v>
      </c>
      <c r="K19" s="9" t="s">
        <v>163</v>
      </c>
      <c r="L19" s="6">
        <f t="shared" si="0"/>
        <v>3</v>
      </c>
      <c r="M19" s="6">
        <f t="shared" si="1"/>
        <v>1</v>
      </c>
      <c r="N19" s="7" t="str">
        <f t="shared" si="2"/>
        <v>Valid</v>
      </c>
    </row>
    <row r="20" spans="1:14" ht="20.100000000000001" customHeight="1" x14ac:dyDescent="0.25">
      <c r="A20" s="5">
        <v>14</v>
      </c>
      <c r="B20" s="5" t="s">
        <v>76</v>
      </c>
      <c r="C20" s="5" t="s">
        <v>77</v>
      </c>
      <c r="D20" s="5">
        <v>1</v>
      </c>
      <c r="E20" s="5" t="s">
        <v>78</v>
      </c>
      <c r="F20" s="5" t="s">
        <v>79</v>
      </c>
      <c r="G20" s="9">
        <v>84</v>
      </c>
      <c r="H20" s="9" t="s">
        <v>163</v>
      </c>
      <c r="I20" s="9" t="s">
        <v>163</v>
      </c>
      <c r="J20" s="9" t="s">
        <v>162</v>
      </c>
      <c r="K20" s="9" t="s">
        <v>163</v>
      </c>
      <c r="L20" s="6">
        <f t="shared" si="0"/>
        <v>3</v>
      </c>
      <c r="M20" s="6">
        <f t="shared" si="1"/>
        <v>1</v>
      </c>
      <c r="N20" s="7" t="str">
        <f t="shared" si="2"/>
        <v>Valid</v>
      </c>
    </row>
    <row r="21" spans="1:14" ht="20.100000000000001" customHeight="1" x14ac:dyDescent="0.25">
      <c r="A21" s="5">
        <v>15</v>
      </c>
      <c r="B21" s="5" t="s">
        <v>80</v>
      </c>
      <c r="C21" s="5" t="s">
        <v>81</v>
      </c>
      <c r="D21" s="5">
        <v>1</v>
      </c>
      <c r="E21" s="5" t="s">
        <v>82</v>
      </c>
      <c r="F21" s="5" t="s">
        <v>83</v>
      </c>
      <c r="G21" s="9">
        <v>87</v>
      </c>
      <c r="H21" s="9" t="s">
        <v>163</v>
      </c>
      <c r="I21" s="9" t="s">
        <v>162</v>
      </c>
      <c r="J21" s="9" t="s">
        <v>163</v>
      </c>
      <c r="K21" s="9" t="s">
        <v>163</v>
      </c>
      <c r="L21" s="6">
        <f t="shared" si="0"/>
        <v>3</v>
      </c>
      <c r="M21" s="6">
        <f t="shared" si="1"/>
        <v>1</v>
      </c>
      <c r="N21" s="7" t="str">
        <f t="shared" si="2"/>
        <v>Valid</v>
      </c>
    </row>
    <row r="22" spans="1:14" ht="20.100000000000001" customHeight="1" x14ac:dyDescent="0.25">
      <c r="A22" s="5">
        <v>16</v>
      </c>
      <c r="B22" s="5" t="s">
        <v>84</v>
      </c>
      <c r="C22" s="5" t="s">
        <v>85</v>
      </c>
      <c r="D22" s="5">
        <v>1</v>
      </c>
      <c r="E22" s="5" t="s">
        <v>86</v>
      </c>
      <c r="F22" s="5" t="s">
        <v>87</v>
      </c>
      <c r="G22" s="9">
        <v>90</v>
      </c>
      <c r="H22" s="9" t="s">
        <v>163</v>
      </c>
      <c r="I22" s="9" t="s">
        <v>163</v>
      </c>
      <c r="J22" s="9" t="s">
        <v>162</v>
      </c>
      <c r="K22" s="9" t="s">
        <v>163</v>
      </c>
      <c r="L22" s="6">
        <f t="shared" si="0"/>
        <v>3</v>
      </c>
      <c r="M22" s="6">
        <f t="shared" si="1"/>
        <v>1</v>
      </c>
      <c r="N22" s="7" t="str">
        <f t="shared" si="2"/>
        <v>Valid</v>
      </c>
    </row>
    <row r="23" spans="1:14" ht="20.100000000000001" customHeight="1" x14ac:dyDescent="0.25">
      <c r="A23" s="5">
        <v>17</v>
      </c>
      <c r="B23" s="5" t="s">
        <v>88</v>
      </c>
      <c r="C23" s="5" t="s">
        <v>89</v>
      </c>
      <c r="D23" s="5">
        <v>1</v>
      </c>
      <c r="E23" s="5" t="s">
        <v>90</v>
      </c>
      <c r="F23" s="5" t="s">
        <v>91</v>
      </c>
      <c r="G23" s="9">
        <v>87</v>
      </c>
      <c r="H23" s="9" t="s">
        <v>163</v>
      </c>
      <c r="I23" s="9" t="s">
        <v>163</v>
      </c>
      <c r="J23" s="9" t="s">
        <v>162</v>
      </c>
      <c r="K23" s="9" t="s">
        <v>163</v>
      </c>
      <c r="L23" s="6">
        <f t="shared" si="0"/>
        <v>3</v>
      </c>
      <c r="M23" s="6">
        <f t="shared" si="1"/>
        <v>1</v>
      </c>
      <c r="N23" s="7" t="str">
        <f t="shared" si="2"/>
        <v>Valid</v>
      </c>
    </row>
    <row r="24" spans="1:14" ht="20.100000000000001" customHeight="1" x14ac:dyDescent="0.25">
      <c r="A24" s="5">
        <v>18</v>
      </c>
      <c r="B24" s="5" t="s">
        <v>92</v>
      </c>
      <c r="C24" s="5" t="s">
        <v>93</v>
      </c>
      <c r="D24" s="5">
        <v>1</v>
      </c>
      <c r="E24" s="5" t="s">
        <v>94</v>
      </c>
      <c r="F24" s="5" t="s">
        <v>95</v>
      </c>
      <c r="G24" s="9">
        <v>85</v>
      </c>
      <c r="H24" s="9" t="s">
        <v>163</v>
      </c>
      <c r="I24" s="9" t="s">
        <v>163</v>
      </c>
      <c r="J24" s="9" t="s">
        <v>162</v>
      </c>
      <c r="K24" s="9" t="s">
        <v>163</v>
      </c>
      <c r="L24" s="6">
        <f t="shared" si="0"/>
        <v>3</v>
      </c>
      <c r="M24" s="6">
        <f t="shared" si="1"/>
        <v>1</v>
      </c>
      <c r="N24" s="7" t="str">
        <f t="shared" si="2"/>
        <v>Valid</v>
      </c>
    </row>
    <row r="25" spans="1:14" ht="20.100000000000001" customHeight="1" x14ac:dyDescent="0.25">
      <c r="A25" s="5">
        <v>19</v>
      </c>
      <c r="B25" s="5" t="s">
        <v>96</v>
      </c>
      <c r="C25" s="5" t="s">
        <v>97</v>
      </c>
      <c r="D25" s="5">
        <v>1</v>
      </c>
      <c r="E25" s="5" t="s">
        <v>98</v>
      </c>
      <c r="F25" s="5" t="s">
        <v>99</v>
      </c>
      <c r="G25" s="9">
        <v>86</v>
      </c>
      <c r="H25" s="9" t="s">
        <v>163</v>
      </c>
      <c r="I25" s="9" t="s">
        <v>163</v>
      </c>
      <c r="J25" s="9" t="s">
        <v>162</v>
      </c>
      <c r="K25" s="9" t="s">
        <v>163</v>
      </c>
      <c r="L25" s="6">
        <f t="shared" si="0"/>
        <v>3</v>
      </c>
      <c r="M25" s="6">
        <f t="shared" si="1"/>
        <v>1</v>
      </c>
      <c r="N25" s="7" t="str">
        <f t="shared" si="2"/>
        <v>Valid</v>
      </c>
    </row>
    <row r="26" spans="1:14" ht="20.100000000000001" customHeight="1" x14ac:dyDescent="0.25">
      <c r="A26" s="5">
        <v>20</v>
      </c>
      <c r="B26" s="5" t="s">
        <v>100</v>
      </c>
      <c r="C26" s="5" t="s">
        <v>101</v>
      </c>
      <c r="D26" s="5">
        <v>1</v>
      </c>
      <c r="E26" s="5" t="s">
        <v>102</v>
      </c>
      <c r="F26" s="5" t="s">
        <v>103</v>
      </c>
      <c r="G26" s="9">
        <v>89</v>
      </c>
      <c r="H26" s="9" t="s">
        <v>163</v>
      </c>
      <c r="I26" s="9" t="s">
        <v>162</v>
      </c>
      <c r="J26" s="9" t="s">
        <v>163</v>
      </c>
      <c r="K26" s="9" t="s">
        <v>163</v>
      </c>
      <c r="L26" s="6">
        <f t="shared" si="0"/>
        <v>3</v>
      </c>
      <c r="M26" s="6">
        <f t="shared" si="1"/>
        <v>1</v>
      </c>
      <c r="N26" s="7" t="str">
        <f t="shared" si="2"/>
        <v>Valid</v>
      </c>
    </row>
    <row r="27" spans="1:14" ht="20.100000000000001" customHeight="1" x14ac:dyDescent="0.25">
      <c r="A27" s="5">
        <v>21</v>
      </c>
      <c r="B27" s="5" t="s">
        <v>104</v>
      </c>
      <c r="C27" s="5" t="s">
        <v>105</v>
      </c>
      <c r="D27" s="5">
        <v>1</v>
      </c>
      <c r="E27" s="5" t="s">
        <v>106</v>
      </c>
      <c r="F27" s="5" t="s">
        <v>107</v>
      </c>
      <c r="G27" s="9">
        <v>85</v>
      </c>
      <c r="H27" s="9" t="s">
        <v>163</v>
      </c>
      <c r="I27" s="9" t="s">
        <v>163</v>
      </c>
      <c r="J27" s="9" t="s">
        <v>162</v>
      </c>
      <c r="K27" s="9" t="s">
        <v>163</v>
      </c>
      <c r="L27" s="6">
        <f t="shared" si="0"/>
        <v>3</v>
      </c>
      <c r="M27" s="6">
        <f t="shared" si="1"/>
        <v>1</v>
      </c>
      <c r="N27" s="7" t="str">
        <f t="shared" si="2"/>
        <v>Valid</v>
      </c>
    </row>
    <row r="28" spans="1:14" ht="20.100000000000001" customHeight="1" x14ac:dyDescent="0.25">
      <c r="A28" s="5">
        <v>22</v>
      </c>
      <c r="B28" s="5" t="s">
        <v>108</v>
      </c>
      <c r="C28" s="5" t="s">
        <v>109</v>
      </c>
      <c r="D28" s="5">
        <v>1</v>
      </c>
      <c r="E28" s="5" t="s">
        <v>110</v>
      </c>
      <c r="F28" s="5" t="s">
        <v>111</v>
      </c>
      <c r="G28" s="9">
        <v>82</v>
      </c>
      <c r="H28" s="9" t="s">
        <v>163</v>
      </c>
      <c r="I28" s="9" t="s">
        <v>162</v>
      </c>
      <c r="J28" s="9" t="s">
        <v>163</v>
      </c>
      <c r="K28" s="9" t="s">
        <v>163</v>
      </c>
      <c r="L28" s="6">
        <f t="shared" si="0"/>
        <v>3</v>
      </c>
      <c r="M28" s="6">
        <f t="shared" si="1"/>
        <v>1</v>
      </c>
      <c r="N28" s="7" t="str">
        <f t="shared" si="2"/>
        <v>Valid</v>
      </c>
    </row>
    <row r="29" spans="1:14" ht="20.100000000000001" customHeight="1" x14ac:dyDescent="0.25">
      <c r="A29" s="5">
        <v>23</v>
      </c>
      <c r="B29" s="5" t="s">
        <v>112</v>
      </c>
      <c r="C29" s="5" t="s">
        <v>113</v>
      </c>
      <c r="D29" s="5">
        <v>1</v>
      </c>
      <c r="E29" s="5" t="s">
        <v>114</v>
      </c>
      <c r="F29" s="5" t="s">
        <v>115</v>
      </c>
      <c r="G29" s="9">
        <v>87</v>
      </c>
      <c r="H29" s="9" t="s">
        <v>163</v>
      </c>
      <c r="I29" s="9" t="s">
        <v>163</v>
      </c>
      <c r="J29" s="9" t="s">
        <v>162</v>
      </c>
      <c r="K29" s="9" t="s">
        <v>163</v>
      </c>
      <c r="L29" s="6">
        <f t="shared" si="0"/>
        <v>3</v>
      </c>
      <c r="M29" s="6">
        <f t="shared" si="1"/>
        <v>1</v>
      </c>
      <c r="N29" s="7" t="str">
        <f t="shared" si="2"/>
        <v>Valid</v>
      </c>
    </row>
    <row r="30" spans="1:14" ht="20.100000000000001" customHeight="1" x14ac:dyDescent="0.25">
      <c r="A30" s="5">
        <v>24</v>
      </c>
      <c r="B30" s="5" t="s">
        <v>116</v>
      </c>
      <c r="C30" s="5" t="s">
        <v>117</v>
      </c>
      <c r="D30" s="5">
        <v>1</v>
      </c>
      <c r="E30" s="5" t="s">
        <v>118</v>
      </c>
      <c r="F30" s="5" t="s">
        <v>119</v>
      </c>
      <c r="G30" s="9">
        <v>87</v>
      </c>
      <c r="H30" s="9" t="s">
        <v>163</v>
      </c>
      <c r="I30" s="9" t="s">
        <v>163</v>
      </c>
      <c r="J30" s="9" t="s">
        <v>162</v>
      </c>
      <c r="K30" s="9" t="s">
        <v>163</v>
      </c>
      <c r="L30" s="6">
        <f t="shared" si="0"/>
        <v>3</v>
      </c>
      <c r="M30" s="6">
        <f t="shared" si="1"/>
        <v>1</v>
      </c>
      <c r="N30" s="7" t="str">
        <f t="shared" si="2"/>
        <v>Valid</v>
      </c>
    </row>
    <row r="31" spans="1:14" ht="20.100000000000001" customHeight="1" x14ac:dyDescent="0.25">
      <c r="A31" s="5">
        <v>25</v>
      </c>
      <c r="B31" s="5" t="s">
        <v>120</v>
      </c>
      <c r="C31" s="5" t="s">
        <v>121</v>
      </c>
      <c r="D31" s="5">
        <v>1</v>
      </c>
      <c r="E31" s="5" t="s">
        <v>122</v>
      </c>
      <c r="F31" s="5" t="s">
        <v>123</v>
      </c>
      <c r="G31" s="9">
        <v>86</v>
      </c>
      <c r="H31" s="9" t="s">
        <v>163</v>
      </c>
      <c r="I31" s="9" t="s">
        <v>163</v>
      </c>
      <c r="J31" s="9" t="s">
        <v>162</v>
      </c>
      <c r="K31" s="9" t="s">
        <v>163</v>
      </c>
      <c r="L31" s="6">
        <f t="shared" si="0"/>
        <v>3</v>
      </c>
      <c r="M31" s="6">
        <f t="shared" si="1"/>
        <v>1</v>
      </c>
      <c r="N31" s="7" t="str">
        <f t="shared" si="2"/>
        <v>Valid</v>
      </c>
    </row>
    <row r="32" spans="1:14" ht="20.100000000000001" customHeight="1" x14ac:dyDescent="0.25">
      <c r="A32" s="5">
        <v>26</v>
      </c>
      <c r="B32" s="5" t="s">
        <v>124</v>
      </c>
      <c r="C32" s="5" t="s">
        <v>125</v>
      </c>
      <c r="D32" s="5">
        <v>1</v>
      </c>
      <c r="E32" s="5" t="s">
        <v>126</v>
      </c>
      <c r="F32" s="5" t="s">
        <v>127</v>
      </c>
      <c r="G32" s="9">
        <v>85</v>
      </c>
      <c r="H32" s="9" t="s">
        <v>163</v>
      </c>
      <c r="I32" s="9" t="s">
        <v>163</v>
      </c>
      <c r="J32" s="9" t="s">
        <v>162</v>
      </c>
      <c r="K32" s="9" t="s">
        <v>163</v>
      </c>
      <c r="L32" s="6">
        <f t="shared" si="0"/>
        <v>3</v>
      </c>
      <c r="M32" s="6">
        <f t="shared" si="1"/>
        <v>1</v>
      </c>
      <c r="N32" s="7" t="str">
        <f t="shared" si="2"/>
        <v>Valid</v>
      </c>
    </row>
    <row r="33" spans="1:14" ht="20.100000000000001" customHeight="1" x14ac:dyDescent="0.25">
      <c r="A33" s="5">
        <v>27</v>
      </c>
      <c r="B33" s="5" t="s">
        <v>128</v>
      </c>
      <c r="C33" s="5" t="s">
        <v>129</v>
      </c>
      <c r="D33" s="5">
        <v>1</v>
      </c>
      <c r="E33" s="5" t="s">
        <v>130</v>
      </c>
      <c r="F33" s="5" t="s">
        <v>131</v>
      </c>
      <c r="G33" s="9">
        <v>83</v>
      </c>
      <c r="H33" s="9" t="s">
        <v>163</v>
      </c>
      <c r="I33" s="9" t="s">
        <v>163</v>
      </c>
      <c r="J33" s="9" t="s">
        <v>162</v>
      </c>
      <c r="K33" s="9" t="s">
        <v>163</v>
      </c>
      <c r="L33" s="6">
        <f t="shared" si="0"/>
        <v>3</v>
      </c>
      <c r="M33" s="6">
        <f t="shared" si="1"/>
        <v>1</v>
      </c>
      <c r="N33" s="7" t="str">
        <f t="shared" si="2"/>
        <v>Valid</v>
      </c>
    </row>
    <row r="34" spans="1:14" ht="20.100000000000001" customHeight="1" x14ac:dyDescent="0.25">
      <c r="A34" s="5">
        <v>28</v>
      </c>
      <c r="B34" s="5" t="s">
        <v>132</v>
      </c>
      <c r="C34" s="5" t="s">
        <v>133</v>
      </c>
      <c r="D34" s="5">
        <v>1</v>
      </c>
      <c r="E34" s="5" t="s">
        <v>134</v>
      </c>
      <c r="F34" s="5" t="s">
        <v>135</v>
      </c>
      <c r="G34" s="9">
        <v>82</v>
      </c>
      <c r="H34" s="9" t="s">
        <v>163</v>
      </c>
      <c r="I34" s="9" t="s">
        <v>163</v>
      </c>
      <c r="J34" s="9" t="s">
        <v>162</v>
      </c>
      <c r="K34" s="9" t="s">
        <v>163</v>
      </c>
      <c r="L34" s="6">
        <f t="shared" si="0"/>
        <v>3</v>
      </c>
      <c r="M34" s="6">
        <f t="shared" si="1"/>
        <v>1</v>
      </c>
      <c r="N34" s="7" t="str">
        <f t="shared" si="2"/>
        <v>Valid</v>
      </c>
    </row>
    <row r="35" spans="1:14" ht="20.100000000000001" customHeight="1" x14ac:dyDescent="0.25">
      <c r="A35" s="5">
        <v>29</v>
      </c>
      <c r="B35" s="5" t="s">
        <v>136</v>
      </c>
      <c r="C35" s="5" t="s">
        <v>137</v>
      </c>
      <c r="D35" s="5">
        <v>1</v>
      </c>
      <c r="E35" s="5" t="s">
        <v>138</v>
      </c>
      <c r="F35" s="5" t="s">
        <v>139</v>
      </c>
      <c r="G35" s="9">
        <v>85</v>
      </c>
      <c r="H35" s="9" t="s">
        <v>163</v>
      </c>
      <c r="I35" s="9" t="s">
        <v>163</v>
      </c>
      <c r="J35" s="9" t="s">
        <v>162</v>
      </c>
      <c r="K35" s="9" t="s">
        <v>163</v>
      </c>
      <c r="L35" s="6">
        <f t="shared" si="0"/>
        <v>3</v>
      </c>
      <c r="M35" s="6">
        <f t="shared" si="1"/>
        <v>1</v>
      </c>
      <c r="N35" s="7" t="str">
        <f t="shared" si="2"/>
        <v>Valid</v>
      </c>
    </row>
    <row r="36" spans="1:14" ht="20.100000000000001" customHeight="1" x14ac:dyDescent="0.25">
      <c r="A36" s="5">
        <v>30</v>
      </c>
      <c r="B36" s="5" t="s">
        <v>140</v>
      </c>
      <c r="C36" s="5" t="s">
        <v>141</v>
      </c>
      <c r="D36" s="5">
        <v>1</v>
      </c>
      <c r="E36" s="5" t="s">
        <v>142</v>
      </c>
      <c r="F36" s="5" t="s">
        <v>143</v>
      </c>
      <c r="G36" s="9">
        <v>83</v>
      </c>
      <c r="H36" s="9" t="s">
        <v>163</v>
      </c>
      <c r="I36" s="9" t="s">
        <v>163</v>
      </c>
      <c r="J36" s="9" t="s">
        <v>162</v>
      </c>
      <c r="K36" s="9" t="s">
        <v>163</v>
      </c>
      <c r="L36" s="6">
        <f t="shared" si="0"/>
        <v>3</v>
      </c>
      <c r="M36" s="6">
        <f t="shared" si="1"/>
        <v>1</v>
      </c>
      <c r="N36" s="7" t="str">
        <f t="shared" si="2"/>
        <v>Valid</v>
      </c>
    </row>
    <row r="37" spans="1:14" ht="20.100000000000001" customHeight="1" x14ac:dyDescent="0.25">
      <c r="A37" s="5">
        <v>31</v>
      </c>
      <c r="B37" s="5" t="s">
        <v>144</v>
      </c>
      <c r="C37" s="5" t="s">
        <v>145</v>
      </c>
      <c r="D37" s="5">
        <v>1</v>
      </c>
      <c r="E37" s="5" t="s">
        <v>146</v>
      </c>
      <c r="F37" s="5" t="s">
        <v>147</v>
      </c>
      <c r="G37" s="9">
        <v>88</v>
      </c>
      <c r="H37" s="9" t="s">
        <v>163</v>
      </c>
      <c r="I37" s="9" t="s">
        <v>163</v>
      </c>
      <c r="J37" s="9" t="s">
        <v>162</v>
      </c>
      <c r="K37" s="9" t="s">
        <v>163</v>
      </c>
      <c r="L37" s="6">
        <f t="shared" si="0"/>
        <v>3</v>
      </c>
      <c r="M37" s="6">
        <f t="shared" si="1"/>
        <v>1</v>
      </c>
      <c r="N37" s="7" t="str">
        <f t="shared" si="2"/>
        <v>Valid</v>
      </c>
    </row>
    <row r="38" spans="1:14" ht="20.100000000000001" customHeight="1" x14ac:dyDescent="0.25">
      <c r="A38" s="5">
        <v>32</v>
      </c>
      <c r="B38" s="5" t="s">
        <v>148</v>
      </c>
      <c r="C38" s="5" t="s">
        <v>149</v>
      </c>
      <c r="D38" s="5">
        <v>1</v>
      </c>
      <c r="E38" s="5" t="s">
        <v>150</v>
      </c>
      <c r="F38" s="5" t="s">
        <v>151</v>
      </c>
      <c r="G38" s="9">
        <v>82</v>
      </c>
      <c r="H38" s="9" t="s">
        <v>163</v>
      </c>
      <c r="I38" s="9" t="s">
        <v>163</v>
      </c>
      <c r="J38" s="9" t="s">
        <v>162</v>
      </c>
      <c r="K38" s="9" t="s">
        <v>163</v>
      </c>
      <c r="L38" s="6">
        <f t="shared" si="0"/>
        <v>3</v>
      </c>
      <c r="M38" s="6">
        <f t="shared" si="1"/>
        <v>1</v>
      </c>
      <c r="N38" s="7" t="str">
        <f t="shared" si="2"/>
        <v>Valid</v>
      </c>
    </row>
    <row r="40" spans="1:14" ht="15.75" x14ac:dyDescent="0.25">
      <c r="A40" s="1" t="s">
        <v>152</v>
      </c>
    </row>
    <row r="41" spans="1:14" x14ac:dyDescent="0.25">
      <c r="A41" t="s">
        <v>153</v>
      </c>
    </row>
    <row r="42" spans="1:14" x14ac:dyDescent="0.25">
      <c r="A42" t="s">
        <v>154</v>
      </c>
    </row>
    <row r="43" spans="1:14" x14ac:dyDescent="0.25">
      <c r="A43" t="s">
        <v>155</v>
      </c>
    </row>
    <row r="44" spans="1:14" x14ac:dyDescent="0.25">
      <c r="A44" t="s">
        <v>156</v>
      </c>
    </row>
    <row r="45" spans="1:14" x14ac:dyDescent="0.25">
      <c r="A45" s="2" t="s">
        <v>157</v>
      </c>
    </row>
    <row r="46" spans="1:14" x14ac:dyDescent="0.25">
      <c r="A46" t="s">
        <v>158</v>
      </c>
    </row>
    <row r="47" spans="1:14" x14ac:dyDescent="0.25">
      <c r="A47" t="s">
        <v>159</v>
      </c>
    </row>
    <row r="48" spans="1:14" x14ac:dyDescent="0.25">
      <c r="A48" t="s">
        <v>160</v>
      </c>
    </row>
    <row r="49" spans="1:1" x14ac:dyDescent="0.25">
      <c r="A49" t="s">
        <v>161</v>
      </c>
    </row>
  </sheetData>
  <sheetProtection password="E249" sheet="1"/>
  <mergeCells count="9">
    <mergeCell ref="F3:F6"/>
    <mergeCell ref="G3:G6"/>
    <mergeCell ref="H3:K3"/>
    <mergeCell ref="L3:N3"/>
    <mergeCell ref="A3:A6"/>
    <mergeCell ref="B3:B6"/>
    <mergeCell ref="C3:C6"/>
    <mergeCell ref="D3:D6"/>
    <mergeCell ref="E3:E6"/>
  </mergeCells>
  <dataValidations count="2">
    <dataValidation type="whole" showDropDown="1" showInputMessage="1" showErrorMessage="1" errorTitle="Input Salah" error="Hanya boleh memasukkan angka antara 1 dan 100." promptTitle="Input Angka" prompt="Masukkan angka antara 1 dan 100." sqref="G7:G38" xr:uid="{00000000-0002-0000-0000-000000000000}">
      <formula1>1</formula1>
      <formula2>100</formula2>
    </dataValidation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K38" xr:uid="{00000000-0002-0000-0000-000001000000}">
      <formula1>"T,R"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mbcell</cp:lastModifiedBy>
  <dcterms:created xsi:type="dcterms:W3CDTF">2025-12-08T00:14:30Z</dcterms:created>
  <dcterms:modified xsi:type="dcterms:W3CDTF">2025-12-11T05:09:51Z</dcterms:modified>
  <cp:category/>
</cp:coreProperties>
</file>