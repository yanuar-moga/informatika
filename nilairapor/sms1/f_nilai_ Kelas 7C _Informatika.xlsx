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 BAYU\DATA SEMSETER 1 TA 2025 2026\RAPOR KELAS 7\SEMESTER 1\IMPOR NILAI\"/>
    </mc:Choice>
  </mc:AlternateContent>
  <xr:revisionPtr revIDLastSave="0" documentId="13_ncr:1_{DC7B2C06-965F-4DB8-8636-7C9B6E0259A7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1" l="1"/>
  <c r="L38" i="1"/>
  <c r="M37" i="1"/>
  <c r="L37" i="1"/>
  <c r="N37" i="1" s="1"/>
  <c r="M36" i="1"/>
  <c r="L36" i="1"/>
  <c r="N36" i="1" s="1"/>
  <c r="M35" i="1"/>
  <c r="L35" i="1"/>
  <c r="N35" i="1" s="1"/>
  <c r="M34" i="1"/>
  <c r="L34" i="1"/>
  <c r="N34" i="1" s="1"/>
  <c r="M33" i="1"/>
  <c r="L33" i="1"/>
  <c r="N33" i="1" s="1"/>
  <c r="M32" i="1"/>
  <c r="L32" i="1"/>
  <c r="N32" i="1" s="1"/>
  <c r="M31" i="1"/>
  <c r="L31" i="1"/>
  <c r="M30" i="1"/>
  <c r="L30" i="1"/>
  <c r="N30" i="1" s="1"/>
  <c r="M29" i="1"/>
  <c r="L29" i="1"/>
  <c r="N29" i="1" s="1"/>
  <c r="M28" i="1"/>
  <c r="L28" i="1"/>
  <c r="N27" i="1"/>
  <c r="M27" i="1"/>
  <c r="L27" i="1"/>
  <c r="M26" i="1"/>
  <c r="L26" i="1"/>
  <c r="N26" i="1" s="1"/>
  <c r="M25" i="1"/>
  <c r="L25" i="1"/>
  <c r="N25" i="1" s="1"/>
  <c r="M24" i="1"/>
  <c r="L24" i="1"/>
  <c r="N24" i="1" s="1"/>
  <c r="M23" i="1"/>
  <c r="L23" i="1"/>
  <c r="N23" i="1" s="1"/>
  <c r="M22" i="1"/>
  <c r="L22" i="1"/>
  <c r="N22" i="1" s="1"/>
  <c r="M21" i="1"/>
  <c r="L21" i="1"/>
  <c r="N21" i="1" s="1"/>
  <c r="M20" i="1"/>
  <c r="L20" i="1"/>
  <c r="N20" i="1" s="1"/>
  <c r="N19" i="1"/>
  <c r="M19" i="1"/>
  <c r="L19" i="1"/>
  <c r="M18" i="1"/>
  <c r="L18" i="1"/>
  <c r="N18" i="1" s="1"/>
  <c r="M17" i="1"/>
  <c r="L17" i="1"/>
  <c r="N17" i="1" s="1"/>
  <c r="M16" i="1"/>
  <c r="L16" i="1"/>
  <c r="N16" i="1" s="1"/>
  <c r="M15" i="1"/>
  <c r="L15" i="1"/>
  <c r="N15" i="1" s="1"/>
  <c r="M14" i="1"/>
  <c r="N14" i="1" s="1"/>
  <c r="L14" i="1"/>
  <c r="M13" i="1"/>
  <c r="L13" i="1"/>
  <c r="N13" i="1" s="1"/>
  <c r="M12" i="1"/>
  <c r="L12" i="1"/>
  <c r="N12" i="1" s="1"/>
  <c r="M11" i="1"/>
  <c r="N11" i="1" s="1"/>
  <c r="L11" i="1"/>
  <c r="M10" i="1"/>
  <c r="L10" i="1"/>
  <c r="N10" i="1" s="1"/>
  <c r="M9" i="1"/>
  <c r="L9" i="1"/>
  <c r="N9" i="1" s="1"/>
  <c r="M8" i="1"/>
  <c r="L8" i="1"/>
  <c r="N8" i="1" s="1"/>
  <c r="M7" i="1"/>
  <c r="L7" i="1"/>
  <c r="N7" i="1" s="1"/>
  <c r="N38" i="1" l="1"/>
  <c r="N31" i="1"/>
  <c r="N28" i="1"/>
</calcChain>
</file>

<file path=xl/sharedStrings.xml><?xml version="1.0" encoding="utf-8"?>
<sst xmlns="http://schemas.openxmlformats.org/spreadsheetml/2006/main" count="292" uniqueCount="164">
  <si>
    <t xml:space="preserve">FORMAT IMPORT NILAI RAPOR INFORMATIKA, KELAS  KELAS 7C </t>
  </si>
  <si>
    <t>7da3866e-f40f-4850-bece-95b687726741</t>
  </si>
  <si>
    <t>NO</t>
  </si>
  <si>
    <t>NILRPT</t>
  </si>
  <si>
    <t>NISN</t>
  </si>
  <si>
    <t>NAMA SISWA</t>
  </si>
  <si>
    <t>NILAI RAPOR</t>
  </si>
  <si>
    <t>TINGKAT KETERCAPAIAN TP</t>
  </si>
  <si>
    <t>cba8d1bb-3655-4956-b1fa-29a6b9af18ea</t>
  </si>
  <si>
    <t xml:space="preserve">memanfaatkan TIK antar muka pengguna, surel, peramban pencarian informasi, dan aplikasi perkantoran </t>
  </si>
  <si>
    <t>TP.711</t>
  </si>
  <si>
    <t>c8dbf5c6-b4cd-4993-a502-095f289c3df5</t>
  </si>
  <si>
    <t xml:space="preserve">menjelaskan komponen, fungsi, cara kerja komputer (sistem komputasi), dan memahami kodifikasi data </t>
  </si>
  <si>
    <t>TP.713</t>
  </si>
  <si>
    <t>40895aa8-9ac4-4107-ba56-0e0223db1aba</t>
  </si>
  <si>
    <t>Memahami dampak positif dan negatif teknologi informasi, keamanan data pribadi dan berkolaborasi.</t>
  </si>
  <si>
    <t>TP.714</t>
  </si>
  <si>
    <t>eed91b03-902c-4e3f-bcb8-8d2bd4451e2f</t>
  </si>
  <si>
    <t>mengenal konektivitas internet, jaringan lokal, dan komunikasi data, serta memahami enkripsi data</t>
  </si>
  <si>
    <t>TP.715</t>
  </si>
  <si>
    <t>VALIDASI</t>
  </si>
  <si>
    <t>TR</t>
  </si>
  <si>
    <t>OP</t>
  </si>
  <si>
    <t>NILAI</t>
  </si>
  <si>
    <t>2bd8fc18-ad3c-4f9b-9865-c31461fe67e3</t>
  </si>
  <si>
    <t>88858099-c1c9-42c9-af98-234c2f931380</t>
  </si>
  <si>
    <t>3139174489</t>
  </si>
  <si>
    <t>ADELIA WIDI NUR LAELI</t>
  </si>
  <si>
    <t>c9e17580-a4f9-4ff8-8e97-34f84bcd2d2c</t>
  </si>
  <si>
    <t>e726066f-6c84-43b1-9260-8e45c8275fcc</t>
  </si>
  <si>
    <t>0135387063</t>
  </si>
  <si>
    <t>AFIK BINA PRATAMA</t>
  </si>
  <si>
    <t>a84fb617-c35c-42f5-b786-505aeb1b0df1</t>
  </si>
  <si>
    <t>98b60a49-1d9a-4b18-bc35-283461fa500e</t>
  </si>
  <si>
    <t>3129148222</t>
  </si>
  <si>
    <t>AHZA DANISH SAPUTRA</t>
  </si>
  <si>
    <t>2db9eb79-9e47-4ccd-8544-70dec8f718bd</t>
  </si>
  <si>
    <t>a22241e4-dcd9-4c6e-9ba8-a2010abfeb9e</t>
  </si>
  <si>
    <t>0132846034</t>
  </si>
  <si>
    <t>ALYA AZZAHRA</t>
  </si>
  <si>
    <t>de39a26c-8347-41a9-bb4b-578e687af4cf</t>
  </si>
  <si>
    <t>2c06492b-ff57-45d4-882c-20beaba0354c</t>
  </si>
  <si>
    <t>0139404977</t>
  </si>
  <si>
    <t>AMIRA GHAIDA METIZA YUDOYAHNO</t>
  </si>
  <si>
    <t>609dafea-cf2c-41e9-9e77-b3735520d756</t>
  </si>
  <si>
    <t>17b23524-54bd-4486-baf2-a5411dfc1c0c</t>
  </si>
  <si>
    <t>3128940389</t>
  </si>
  <si>
    <t>ANNISA ZHUKRUF</t>
  </si>
  <si>
    <t>8f806dab-c900-4380-ba14-2c8438f331a2</t>
  </si>
  <si>
    <t>8474bcc2-75c5-4aa1-9b3d-2f8a5e8a038b</t>
  </si>
  <si>
    <t>0135251238</t>
  </si>
  <si>
    <t>ANZILNA MINKA KAROMATIKA</t>
  </si>
  <si>
    <t>f5ec660a-8558-43f1-9636-4e6b5d4347e0</t>
  </si>
  <si>
    <t>5d0409da-19d2-49a5-9d0e-5ae143918a1e</t>
  </si>
  <si>
    <t>0124720449</t>
  </si>
  <si>
    <t>DAFA ARYA ARIF PRADANA</t>
  </si>
  <si>
    <t>7fb585d2-c346-425e-8c62-55fe4ce4da91</t>
  </si>
  <si>
    <t>80e438c5-dfb1-4726-b930-d17c76335125</t>
  </si>
  <si>
    <t>3136168031</t>
  </si>
  <si>
    <t>GALUH EKADIANTI</t>
  </si>
  <si>
    <t>ffb0e9aa-c881-418c-8a17-10effd59502b</t>
  </si>
  <si>
    <t>13d32c33-4d92-4902-891b-b22221c05c66</t>
  </si>
  <si>
    <t>0122835527</t>
  </si>
  <si>
    <t>HAIDAR MUSYAFFA KHAIRULLAH</t>
  </si>
  <si>
    <t>ca4eeafa-688b-4610-8fad-26a9c233b93e</t>
  </si>
  <si>
    <t>07cf4267-7482-4b94-9243-bc42e67ea822</t>
  </si>
  <si>
    <t>3123203697</t>
  </si>
  <si>
    <t>IKHDA FAIRUZ</t>
  </si>
  <si>
    <t>d70087d4-e097-4903-a0e1-9bf1b873b949</t>
  </si>
  <si>
    <t>f9eced9a-685a-4673-9e16-3916686a7f07</t>
  </si>
  <si>
    <t>0139888786</t>
  </si>
  <si>
    <t>KENISHA NAIA ANANDITA</t>
  </si>
  <si>
    <t>fab94d32-9522-4851-a3e1-ca76ed96635a</t>
  </si>
  <si>
    <t>ca19ba4c-a782-44d4-aa07-dbc85aea35fe</t>
  </si>
  <si>
    <t>0121540256</t>
  </si>
  <si>
    <t>KHARISA QATHRUN NADA</t>
  </si>
  <si>
    <t>951b66fc-408f-48e1-a5ec-56b08eb5fe7d</t>
  </si>
  <si>
    <t>231e8cb5-ca67-49ba-8428-dc01878a38ec</t>
  </si>
  <si>
    <t>3132116920</t>
  </si>
  <si>
    <t>KHARISMA ARISQIA</t>
  </si>
  <si>
    <t>25378964-51bc-4ac1-97c7-9f9852f3461c</t>
  </si>
  <si>
    <t>f4636461-0d84-45e3-97e5-ebe89b414cbb</t>
  </si>
  <si>
    <t>0139428575</t>
  </si>
  <si>
    <t>LABIB MAULANA ABRISAM</t>
  </si>
  <si>
    <t>15f2a2a3-7a11-43ac-98b6-a38c4dc94292</t>
  </si>
  <si>
    <t>e4205897-d0b9-4e96-a949-058ec9e6952e</t>
  </si>
  <si>
    <t>3123357902</t>
  </si>
  <si>
    <t>MILA SAROTUNISA</t>
  </si>
  <si>
    <t>a8b95a28-6d5e-45c2-9415-7d9973b4d98f</t>
  </si>
  <si>
    <t>c894bfdd-963b-43ce-b1fd-25a4a5429976</t>
  </si>
  <si>
    <t>0134197802</t>
  </si>
  <si>
    <t>MOHAMMAD RIFQI ATONIAMI</t>
  </si>
  <si>
    <t>709be61b-b88b-4a18-bea4-0496b31fa836</t>
  </si>
  <si>
    <t>5f71dda7-67e4-46ed-bec2-055152b61549</t>
  </si>
  <si>
    <t>3149767255</t>
  </si>
  <si>
    <t>MUAZAROTUL HUSNA</t>
  </si>
  <si>
    <t>ee632136-e583-4558-9166-5040ea6a7915</t>
  </si>
  <si>
    <t>10bde6e3-4220-425f-827b-e29b84ca6d3f</t>
  </si>
  <si>
    <t>3118793241</t>
  </si>
  <si>
    <t>MUHAMAD ABID KHAMDANI</t>
  </si>
  <si>
    <t>2631f1a5-2006-40d3-aa43-fe6540b74389</t>
  </si>
  <si>
    <t>fd869bd3-4833-43ef-b56f-09fd0c255397</t>
  </si>
  <si>
    <t>0131995626</t>
  </si>
  <si>
    <t>MUHAMAD FARDAN AL FATIR</t>
  </si>
  <si>
    <t>b1f83f7d-5b4f-488b-8d62-85836747a5b5</t>
  </si>
  <si>
    <t>9aaa0c32-fb6b-44d4-acdb-ff3c88df453a</t>
  </si>
  <si>
    <t>0123303527</t>
  </si>
  <si>
    <t>MUHAMAD SULTONUNADIF</t>
  </si>
  <si>
    <t>7e820842-4d66-4c7f-a178-c6678e13c526</t>
  </si>
  <si>
    <t>252358d7-3fcb-449c-bd65-bace096a170e</t>
  </si>
  <si>
    <t>0138936818</t>
  </si>
  <si>
    <t>MUHAMMAD ABU YAZID</t>
  </si>
  <si>
    <t>9c364c86-261d-46bd-bf29-287a3408a787</t>
  </si>
  <si>
    <t>a03ee282-e234-42ab-84b6-20ccedadf38c</t>
  </si>
  <si>
    <t>0126430279</t>
  </si>
  <si>
    <t>MUHAMMAD NUR ALFIAN SAPUTRA</t>
  </si>
  <si>
    <t>4b0b68fe-040a-47ec-95e6-816cb289f63e</t>
  </si>
  <si>
    <t>a86d524d-2687-4b70-9053-e40036afc2fa</t>
  </si>
  <si>
    <t>3128984666</t>
  </si>
  <si>
    <t>MUTIA FA'IQOTU RAMADHANI</t>
  </si>
  <si>
    <t>4a105f7a-cc80-4982-93bc-eaf318d71650</t>
  </si>
  <si>
    <t>333e8d03-95bc-46fb-a503-5bc9028013de</t>
  </si>
  <si>
    <t>0126388679</t>
  </si>
  <si>
    <t>NADHIF ANDRIAN KHAKIM</t>
  </si>
  <si>
    <t>01b810ff-0933-47f9-b84f-f25a179a871b</t>
  </si>
  <si>
    <t>ff5316fa-3efa-40f4-805c-93e4fc677820</t>
  </si>
  <si>
    <t>3128465940</t>
  </si>
  <si>
    <t>NAFIZYAH RAHMADHINA</t>
  </si>
  <si>
    <t>2b7b908c-ade5-49f7-a7a7-5631433f9a6c</t>
  </si>
  <si>
    <t>0485db3a-b0de-4099-bed7-9a2cdd41bda5</t>
  </si>
  <si>
    <t>3136276618</t>
  </si>
  <si>
    <t>NAYA KURNIYA</t>
  </si>
  <si>
    <t>52b4c2af-9b59-4801-816c-321cb0d61225</t>
  </si>
  <si>
    <t>d3016032-5b72-4b5a-98c4-125009e08f75</t>
  </si>
  <si>
    <t>0124469564</t>
  </si>
  <si>
    <t>RASYA AZKADIA ALFATH</t>
  </si>
  <si>
    <t>3bb395ec-8e99-4dbc-ab7a-b62de13b840b</t>
  </si>
  <si>
    <t>731450a6-b56c-43af-a60d-b8df897dbda6</t>
  </si>
  <si>
    <t>3127479203</t>
  </si>
  <si>
    <t>STEVEN BAGUSPUTRA KURNIA</t>
  </si>
  <si>
    <t>d30b2883-ad3b-4908-9914-e26f0941e02d</t>
  </si>
  <si>
    <t>270bb3f2-cc98-4bab-a1b8-a968f6870ff1</t>
  </si>
  <si>
    <t>3132241612</t>
  </si>
  <si>
    <t>TAFRIKHA TA'NISILIALI</t>
  </si>
  <si>
    <t>f0bfc024-1a78-437c-8233-83b100230e94</t>
  </si>
  <si>
    <t>7ad45162-e50f-4d81-8235-5989df80d291</t>
  </si>
  <si>
    <t>3122233468</t>
  </si>
  <si>
    <t>WIDIA NINGSIH</t>
  </si>
  <si>
    <t>f37efeda-0e31-4c14-bc43-3633fccf26c0</t>
  </si>
  <si>
    <t>e4fbd2ba-8096-4540-a7d9-05d54b75838d</t>
  </si>
  <si>
    <t>0135170619</t>
  </si>
  <si>
    <t>YUMNA AYUNINGTYAS</t>
  </si>
  <si>
    <t>KETERANGAN :</t>
  </si>
  <si>
    <t xml:space="preserve"> &gt; TP.711 : memanfaatkan TIK antar muka pengguna, surel, peramban pencarian informasi, dan aplikasi perkantoran </t>
  </si>
  <si>
    <t xml:space="preserve"> &gt; TP.713 : menjelaskan komponen, fungsi, cara kerja komputer (sistem komputasi), dan memahami kodifikasi data </t>
  </si>
  <si>
    <t xml:space="preserve"> &gt; TP.714 : Memahami dampak positif dan negatif teknologi informasi, keamanan data pribadi dan berkolaborasi.</t>
  </si>
  <si>
    <t xml:space="preserve"> &gt; TP.715 : mengenal konektivitas internet, jaringan lokal, dan komunikasi data, serta memahami enkripsi data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</si>
  <si>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</si>
  <si>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</si>
  <si>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</si>
  <si>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</si>
  <si>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</si>
  <si>
    <t>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</si>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</sst>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 applyProtection="1">
      <alignment vertical="top" wrapText="1"/>
      <protection hidden="1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24" workbookViewId="0">
      <selection activeCell="H32" sqref="H32"/>
    </sheetView>
  </sheetViews>
  <sheetFormatPr defaultRowHeight="15" x14ac:dyDescent="0.25"/>
  <cols>
    <col min="1" max="1" width="5" customWidth="1"/>
    <col min="2" max="4" width="0" hidden="1" customWidth="1"/>
    <col min="5" max="5" width="13" customWidth="1"/>
    <col min="6" max="6" width="35.28515625" bestFit="1" customWidth="1"/>
    <col min="7" max="7" width="17.7109375" bestFit="1" customWidth="1"/>
    <col min="8" max="11" width="10" customWidth="1"/>
    <col min="12" max="13" width="0" hidden="1" customWidth="1"/>
    <col min="14" max="14" width="15" customWidth="1"/>
  </cols>
  <sheetData>
    <row r="1" spans="1:14" ht="18.75" x14ac:dyDescent="0.3">
      <c r="A1" s="3" t="s">
        <v>0</v>
      </c>
      <c r="B1">
        <v>14</v>
      </c>
    </row>
    <row r="2" spans="1:14" x14ac:dyDescent="0.25">
      <c r="B2">
        <v>38</v>
      </c>
      <c r="C2" t="s">
        <v>1</v>
      </c>
      <c r="D2">
        <v>700106100</v>
      </c>
    </row>
    <row r="3" spans="1:14" ht="24.95" customHeight="1" x14ac:dyDescent="0.25">
      <c r="A3" s="10" t="s">
        <v>2</v>
      </c>
      <c r="B3" s="10" t="s">
        <v>3</v>
      </c>
      <c r="C3" s="10" t="s">
        <v>3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/>
      <c r="J3" s="10"/>
      <c r="K3" s="10"/>
      <c r="L3" s="10" t="s">
        <v>20</v>
      </c>
      <c r="M3" s="10"/>
      <c r="N3" s="10"/>
    </row>
    <row r="4" spans="1:14" ht="0" hidden="1" customHeight="1" x14ac:dyDescent="0.25">
      <c r="A4" s="11"/>
      <c r="B4" s="11"/>
      <c r="C4" s="11"/>
      <c r="D4" s="11"/>
      <c r="E4" s="11"/>
      <c r="F4" s="11"/>
      <c r="G4" s="12"/>
      <c r="H4" s="8" t="s">
        <v>8</v>
      </c>
      <c r="I4" s="8" t="s">
        <v>11</v>
      </c>
      <c r="J4" s="8" t="s">
        <v>14</v>
      </c>
      <c r="K4" s="8" t="s">
        <v>17</v>
      </c>
      <c r="L4" s="4"/>
      <c r="M4" s="4"/>
      <c r="N4" s="4"/>
    </row>
    <row r="5" spans="1:14" ht="0" hidden="1" customHeight="1" x14ac:dyDescent="0.25">
      <c r="A5" s="11"/>
      <c r="B5" s="11"/>
      <c r="C5" s="11"/>
      <c r="D5" s="11"/>
      <c r="E5" s="11"/>
      <c r="F5" s="11"/>
      <c r="G5" s="12"/>
      <c r="H5" s="8" t="s">
        <v>9</v>
      </c>
      <c r="I5" s="8" t="s">
        <v>12</v>
      </c>
      <c r="J5" s="8" t="s">
        <v>15</v>
      </c>
      <c r="K5" s="8" t="s">
        <v>18</v>
      </c>
      <c r="L5" s="4"/>
      <c r="M5" s="4"/>
      <c r="N5" s="4"/>
    </row>
    <row r="6" spans="1:14" x14ac:dyDescent="0.25">
      <c r="A6" s="11"/>
      <c r="B6" s="11"/>
      <c r="C6" s="11"/>
      <c r="D6" s="11"/>
      <c r="E6" s="11"/>
      <c r="F6" s="11"/>
      <c r="G6" s="12"/>
      <c r="H6" s="8" t="s">
        <v>10</v>
      </c>
      <c r="I6" s="8" t="s">
        <v>13</v>
      </c>
      <c r="J6" s="8" t="s">
        <v>16</v>
      </c>
      <c r="K6" s="8" t="s">
        <v>19</v>
      </c>
      <c r="L6" s="4" t="s">
        <v>21</v>
      </c>
      <c r="M6" s="4" t="s">
        <v>22</v>
      </c>
      <c r="N6" s="4" t="s">
        <v>23</v>
      </c>
    </row>
    <row r="7" spans="1:14" ht="20.100000000000001" customHeight="1" x14ac:dyDescent="0.25">
      <c r="A7" s="5">
        <v>1</v>
      </c>
      <c r="B7" s="5" t="s">
        <v>24</v>
      </c>
      <c r="C7" s="5" t="s">
        <v>25</v>
      </c>
      <c r="D7" s="5">
        <v>1</v>
      </c>
      <c r="E7" s="5" t="s">
        <v>26</v>
      </c>
      <c r="F7" s="5" t="s">
        <v>27</v>
      </c>
      <c r="G7" s="9">
        <v>90</v>
      </c>
      <c r="H7" s="9" t="s">
        <v>163</v>
      </c>
      <c r="I7" s="9" t="s">
        <v>163</v>
      </c>
      <c r="J7" s="9" t="s">
        <v>162</v>
      </c>
      <c r="K7" s="9" t="s">
        <v>162</v>
      </c>
      <c r="L7" s="6">
        <f t="shared" ref="L7:L38" si="0">COUNTIF(H7:K7,"R")</f>
        <v>2</v>
      </c>
      <c r="M7" s="6">
        <f t="shared" ref="M7:M38" si="1">COUNTIF(H7:K7,"T")</f>
        <v>2</v>
      </c>
      <c r="N7" s="7" t="str">
        <f t="shared" ref="N7:N38" si="2">IF(G7="","",IF(G7=100,IF(L7&gt;0,"Tidak Valid",IF((L7+M7)&gt;0,"Valid","Tidak Valid")),IF(L7=0,"Tidak Valid",IF((L7+M7)&gt;0,"Valid","Tidak Valid"))))</f>
        <v>Valid</v>
      </c>
    </row>
    <row r="8" spans="1:14" ht="20.100000000000001" customHeight="1" x14ac:dyDescent="0.25">
      <c r="A8" s="5">
        <v>2</v>
      </c>
      <c r="B8" s="5" t="s">
        <v>28</v>
      </c>
      <c r="C8" s="5" t="s">
        <v>29</v>
      </c>
      <c r="D8" s="5">
        <v>1</v>
      </c>
      <c r="E8" s="5" t="s">
        <v>30</v>
      </c>
      <c r="F8" s="5" t="s">
        <v>31</v>
      </c>
      <c r="G8" s="9">
        <v>89</v>
      </c>
      <c r="H8" s="9" t="s">
        <v>163</v>
      </c>
      <c r="I8" s="9" t="s">
        <v>163</v>
      </c>
      <c r="J8" s="9" t="s">
        <v>162</v>
      </c>
      <c r="K8" s="9" t="s">
        <v>162</v>
      </c>
      <c r="L8" s="6">
        <f t="shared" si="0"/>
        <v>2</v>
      </c>
      <c r="M8" s="6">
        <f t="shared" si="1"/>
        <v>2</v>
      </c>
      <c r="N8" s="7" t="str">
        <f t="shared" si="2"/>
        <v>Valid</v>
      </c>
    </row>
    <row r="9" spans="1:14" ht="20.100000000000001" customHeight="1" x14ac:dyDescent="0.25">
      <c r="A9" s="5">
        <v>3</v>
      </c>
      <c r="B9" s="5" t="s">
        <v>32</v>
      </c>
      <c r="C9" s="5" t="s">
        <v>33</v>
      </c>
      <c r="D9" s="5">
        <v>1</v>
      </c>
      <c r="E9" s="5" t="s">
        <v>34</v>
      </c>
      <c r="F9" s="5" t="s">
        <v>35</v>
      </c>
      <c r="G9" s="9">
        <v>89</v>
      </c>
      <c r="H9" s="9" t="s">
        <v>163</v>
      </c>
      <c r="I9" s="9" t="s">
        <v>163</v>
      </c>
      <c r="J9" s="9" t="s">
        <v>162</v>
      </c>
      <c r="K9" s="9" t="s">
        <v>162</v>
      </c>
      <c r="L9" s="6">
        <f t="shared" si="0"/>
        <v>2</v>
      </c>
      <c r="M9" s="6">
        <f t="shared" si="1"/>
        <v>2</v>
      </c>
      <c r="N9" s="7" t="str">
        <f t="shared" si="2"/>
        <v>Valid</v>
      </c>
    </row>
    <row r="10" spans="1:14" ht="20.100000000000001" customHeight="1" x14ac:dyDescent="0.25">
      <c r="A10" s="5">
        <v>4</v>
      </c>
      <c r="B10" s="5" t="s">
        <v>36</v>
      </c>
      <c r="C10" s="5" t="s">
        <v>37</v>
      </c>
      <c r="D10" s="5">
        <v>1</v>
      </c>
      <c r="E10" s="5" t="s">
        <v>38</v>
      </c>
      <c r="F10" s="5" t="s">
        <v>39</v>
      </c>
      <c r="G10" s="9">
        <v>89</v>
      </c>
      <c r="H10" s="9" t="s">
        <v>163</v>
      </c>
      <c r="I10" s="9" t="s">
        <v>163</v>
      </c>
      <c r="J10" s="9" t="s">
        <v>162</v>
      </c>
      <c r="K10" s="9" t="s">
        <v>162</v>
      </c>
      <c r="L10" s="6">
        <f t="shared" si="0"/>
        <v>2</v>
      </c>
      <c r="M10" s="6">
        <f t="shared" si="1"/>
        <v>2</v>
      </c>
      <c r="N10" s="7" t="str">
        <f t="shared" si="2"/>
        <v>Valid</v>
      </c>
    </row>
    <row r="11" spans="1:14" ht="20.100000000000001" customHeight="1" x14ac:dyDescent="0.25">
      <c r="A11" s="5">
        <v>5</v>
      </c>
      <c r="B11" s="5" t="s">
        <v>40</v>
      </c>
      <c r="C11" s="5" t="s">
        <v>41</v>
      </c>
      <c r="D11" s="5">
        <v>1</v>
      </c>
      <c r="E11" s="5" t="s">
        <v>42</v>
      </c>
      <c r="F11" s="5" t="s">
        <v>43</v>
      </c>
      <c r="G11" s="9">
        <v>91</v>
      </c>
      <c r="H11" s="9" t="s">
        <v>163</v>
      </c>
      <c r="I11" s="9" t="s">
        <v>163</v>
      </c>
      <c r="J11" s="9" t="s">
        <v>162</v>
      </c>
      <c r="K11" s="9" t="s">
        <v>162</v>
      </c>
      <c r="L11" s="6">
        <f t="shared" si="0"/>
        <v>2</v>
      </c>
      <c r="M11" s="6">
        <f t="shared" si="1"/>
        <v>2</v>
      </c>
      <c r="N11" s="7" t="str">
        <f t="shared" si="2"/>
        <v>Valid</v>
      </c>
    </row>
    <row r="12" spans="1:14" ht="20.100000000000001" customHeight="1" x14ac:dyDescent="0.25">
      <c r="A12" s="5">
        <v>6</v>
      </c>
      <c r="B12" s="5" t="s">
        <v>44</v>
      </c>
      <c r="C12" s="5" t="s">
        <v>45</v>
      </c>
      <c r="D12" s="5">
        <v>1</v>
      </c>
      <c r="E12" s="5" t="s">
        <v>46</v>
      </c>
      <c r="F12" s="5" t="s">
        <v>47</v>
      </c>
      <c r="G12" s="9">
        <v>88</v>
      </c>
      <c r="H12" s="9" t="s">
        <v>163</v>
      </c>
      <c r="I12" s="9" t="s">
        <v>163</v>
      </c>
      <c r="J12" s="9" t="s">
        <v>162</v>
      </c>
      <c r="K12" s="9" t="s">
        <v>162</v>
      </c>
      <c r="L12" s="6">
        <f t="shared" si="0"/>
        <v>2</v>
      </c>
      <c r="M12" s="6">
        <f t="shared" si="1"/>
        <v>2</v>
      </c>
      <c r="N12" s="7" t="str">
        <f t="shared" si="2"/>
        <v>Valid</v>
      </c>
    </row>
    <row r="13" spans="1:14" ht="20.100000000000001" customHeight="1" x14ac:dyDescent="0.25">
      <c r="A13" s="5">
        <v>7</v>
      </c>
      <c r="B13" s="5" t="s">
        <v>48</v>
      </c>
      <c r="C13" s="5" t="s">
        <v>49</v>
      </c>
      <c r="D13" s="5">
        <v>1</v>
      </c>
      <c r="E13" s="5" t="s">
        <v>50</v>
      </c>
      <c r="F13" s="5" t="s">
        <v>51</v>
      </c>
      <c r="G13" s="9">
        <v>84</v>
      </c>
      <c r="H13" s="9" t="s">
        <v>163</v>
      </c>
      <c r="I13" s="9" t="s">
        <v>163</v>
      </c>
      <c r="J13" s="9" t="s">
        <v>162</v>
      </c>
      <c r="K13" s="9" t="s">
        <v>163</v>
      </c>
      <c r="L13" s="6">
        <f t="shared" si="0"/>
        <v>3</v>
      </c>
      <c r="M13" s="6">
        <f t="shared" si="1"/>
        <v>1</v>
      </c>
      <c r="N13" s="7" t="str">
        <f t="shared" si="2"/>
        <v>Valid</v>
      </c>
    </row>
    <row r="14" spans="1:14" ht="20.100000000000001" customHeight="1" x14ac:dyDescent="0.25">
      <c r="A14" s="5">
        <v>8</v>
      </c>
      <c r="B14" s="5" t="s">
        <v>52</v>
      </c>
      <c r="C14" s="5" t="s">
        <v>53</v>
      </c>
      <c r="D14" s="5">
        <v>1</v>
      </c>
      <c r="E14" s="5" t="s">
        <v>54</v>
      </c>
      <c r="F14" s="5" t="s">
        <v>55</v>
      </c>
      <c r="G14" s="9">
        <v>82</v>
      </c>
      <c r="H14" s="9" t="s">
        <v>163</v>
      </c>
      <c r="I14" s="9" t="s">
        <v>163</v>
      </c>
      <c r="J14" s="9" t="s">
        <v>162</v>
      </c>
      <c r="K14" s="9" t="s">
        <v>163</v>
      </c>
      <c r="L14" s="6">
        <f t="shared" si="0"/>
        <v>3</v>
      </c>
      <c r="M14" s="6">
        <f t="shared" si="1"/>
        <v>1</v>
      </c>
      <c r="N14" s="7" t="str">
        <f t="shared" si="2"/>
        <v>Valid</v>
      </c>
    </row>
    <row r="15" spans="1:14" ht="20.100000000000001" customHeight="1" x14ac:dyDescent="0.25">
      <c r="A15" s="5">
        <v>9</v>
      </c>
      <c r="B15" s="5" t="s">
        <v>56</v>
      </c>
      <c r="C15" s="5" t="s">
        <v>57</v>
      </c>
      <c r="D15" s="5">
        <v>1</v>
      </c>
      <c r="E15" s="5" t="s">
        <v>58</v>
      </c>
      <c r="F15" s="5" t="s">
        <v>59</v>
      </c>
      <c r="G15" s="9">
        <v>86</v>
      </c>
      <c r="H15" s="9" t="s">
        <v>163</v>
      </c>
      <c r="I15" s="9" t="s">
        <v>163</v>
      </c>
      <c r="J15" s="9" t="s">
        <v>162</v>
      </c>
      <c r="K15" s="9" t="s">
        <v>163</v>
      </c>
      <c r="L15" s="6">
        <f t="shared" si="0"/>
        <v>3</v>
      </c>
      <c r="M15" s="6">
        <f t="shared" si="1"/>
        <v>1</v>
      </c>
      <c r="N15" s="7" t="str">
        <f t="shared" si="2"/>
        <v>Valid</v>
      </c>
    </row>
    <row r="16" spans="1:14" ht="20.100000000000001" customHeight="1" x14ac:dyDescent="0.25">
      <c r="A16" s="5">
        <v>10</v>
      </c>
      <c r="B16" s="5" t="s">
        <v>60</v>
      </c>
      <c r="C16" s="5" t="s">
        <v>61</v>
      </c>
      <c r="D16" s="5">
        <v>1</v>
      </c>
      <c r="E16" s="5" t="s">
        <v>62</v>
      </c>
      <c r="F16" s="5" t="s">
        <v>63</v>
      </c>
      <c r="G16" s="9">
        <v>90</v>
      </c>
      <c r="H16" s="9" t="s">
        <v>163</v>
      </c>
      <c r="I16" s="9" t="s">
        <v>163</v>
      </c>
      <c r="J16" s="9" t="s">
        <v>162</v>
      </c>
      <c r="K16" s="9" t="s">
        <v>162</v>
      </c>
      <c r="L16" s="6">
        <f t="shared" si="0"/>
        <v>2</v>
      </c>
      <c r="M16" s="6">
        <f t="shared" si="1"/>
        <v>2</v>
      </c>
      <c r="N16" s="7" t="str">
        <f t="shared" si="2"/>
        <v>Valid</v>
      </c>
    </row>
    <row r="17" spans="1:14" ht="20.100000000000001" customHeight="1" x14ac:dyDescent="0.25">
      <c r="A17" s="5">
        <v>11</v>
      </c>
      <c r="B17" s="5" t="s">
        <v>64</v>
      </c>
      <c r="C17" s="5" t="s">
        <v>65</v>
      </c>
      <c r="D17" s="5">
        <v>1</v>
      </c>
      <c r="E17" s="5" t="s">
        <v>66</v>
      </c>
      <c r="F17" s="5" t="s">
        <v>67</v>
      </c>
      <c r="G17" s="9">
        <v>92</v>
      </c>
      <c r="H17" s="9" t="s">
        <v>163</v>
      </c>
      <c r="I17" s="9" t="s">
        <v>163</v>
      </c>
      <c r="J17" s="9" t="s">
        <v>162</v>
      </c>
      <c r="K17" s="9" t="s">
        <v>162</v>
      </c>
      <c r="L17" s="6">
        <f t="shared" si="0"/>
        <v>2</v>
      </c>
      <c r="M17" s="6">
        <f t="shared" si="1"/>
        <v>2</v>
      </c>
      <c r="N17" s="7" t="str">
        <f t="shared" si="2"/>
        <v>Valid</v>
      </c>
    </row>
    <row r="18" spans="1:14" ht="20.100000000000001" customHeight="1" x14ac:dyDescent="0.25">
      <c r="A18" s="5">
        <v>12</v>
      </c>
      <c r="B18" s="5" t="s">
        <v>68</v>
      </c>
      <c r="C18" s="5" t="s">
        <v>69</v>
      </c>
      <c r="D18" s="5">
        <v>1</v>
      </c>
      <c r="E18" s="5" t="s">
        <v>70</v>
      </c>
      <c r="F18" s="5" t="s">
        <v>71</v>
      </c>
      <c r="G18" s="9">
        <v>92</v>
      </c>
      <c r="H18" s="9" t="s">
        <v>163</v>
      </c>
      <c r="I18" s="9" t="s">
        <v>163</v>
      </c>
      <c r="J18" s="9" t="s">
        <v>162</v>
      </c>
      <c r="K18" s="9" t="s">
        <v>162</v>
      </c>
      <c r="L18" s="6">
        <f t="shared" si="0"/>
        <v>2</v>
      </c>
      <c r="M18" s="6">
        <f t="shared" si="1"/>
        <v>2</v>
      </c>
      <c r="N18" s="7" t="str">
        <f t="shared" si="2"/>
        <v>Valid</v>
      </c>
    </row>
    <row r="19" spans="1:14" ht="20.100000000000001" customHeight="1" x14ac:dyDescent="0.25">
      <c r="A19" s="5">
        <v>13</v>
      </c>
      <c r="B19" s="5" t="s">
        <v>72</v>
      </c>
      <c r="C19" s="5" t="s">
        <v>73</v>
      </c>
      <c r="D19" s="5">
        <v>1</v>
      </c>
      <c r="E19" s="5" t="s">
        <v>74</v>
      </c>
      <c r="F19" s="5" t="s">
        <v>75</v>
      </c>
      <c r="G19" s="9">
        <v>91</v>
      </c>
      <c r="H19" s="9" t="s">
        <v>163</v>
      </c>
      <c r="I19" s="9" t="s">
        <v>163</v>
      </c>
      <c r="J19" s="9" t="s">
        <v>162</v>
      </c>
      <c r="K19" s="9" t="s">
        <v>162</v>
      </c>
      <c r="L19" s="6">
        <f t="shared" si="0"/>
        <v>2</v>
      </c>
      <c r="M19" s="6">
        <f t="shared" si="1"/>
        <v>2</v>
      </c>
      <c r="N19" s="7" t="str">
        <f t="shared" si="2"/>
        <v>Valid</v>
      </c>
    </row>
    <row r="20" spans="1:14" ht="20.100000000000001" customHeight="1" x14ac:dyDescent="0.25">
      <c r="A20" s="5">
        <v>14</v>
      </c>
      <c r="B20" s="5" t="s">
        <v>76</v>
      </c>
      <c r="C20" s="5" t="s">
        <v>77</v>
      </c>
      <c r="D20" s="5">
        <v>1</v>
      </c>
      <c r="E20" s="5" t="s">
        <v>78</v>
      </c>
      <c r="F20" s="5" t="s">
        <v>79</v>
      </c>
      <c r="G20" s="9">
        <v>91</v>
      </c>
      <c r="H20" s="9" t="s">
        <v>163</v>
      </c>
      <c r="I20" s="9" t="s">
        <v>163</v>
      </c>
      <c r="J20" s="9" t="s">
        <v>162</v>
      </c>
      <c r="K20" s="9" t="s">
        <v>162</v>
      </c>
      <c r="L20" s="6">
        <f t="shared" si="0"/>
        <v>2</v>
      </c>
      <c r="M20" s="6">
        <f t="shared" si="1"/>
        <v>2</v>
      </c>
      <c r="N20" s="7" t="str">
        <f t="shared" si="2"/>
        <v>Valid</v>
      </c>
    </row>
    <row r="21" spans="1:14" ht="20.100000000000001" customHeight="1" x14ac:dyDescent="0.25">
      <c r="A21" s="5">
        <v>15</v>
      </c>
      <c r="B21" s="5" t="s">
        <v>80</v>
      </c>
      <c r="C21" s="5" t="s">
        <v>81</v>
      </c>
      <c r="D21" s="5">
        <v>1</v>
      </c>
      <c r="E21" s="5" t="s">
        <v>82</v>
      </c>
      <c r="F21" s="5" t="s">
        <v>83</v>
      </c>
      <c r="G21" s="9">
        <v>80</v>
      </c>
      <c r="H21" s="9" t="s">
        <v>163</v>
      </c>
      <c r="I21" s="9" t="s">
        <v>162</v>
      </c>
      <c r="J21" s="9" t="s">
        <v>163</v>
      </c>
      <c r="K21" s="9" t="s">
        <v>163</v>
      </c>
      <c r="L21" s="6">
        <f t="shared" si="0"/>
        <v>3</v>
      </c>
      <c r="M21" s="6">
        <f t="shared" si="1"/>
        <v>1</v>
      </c>
      <c r="N21" s="7" t="str">
        <f t="shared" si="2"/>
        <v>Valid</v>
      </c>
    </row>
    <row r="22" spans="1:14" ht="20.100000000000001" customHeight="1" x14ac:dyDescent="0.25">
      <c r="A22" s="5">
        <v>16</v>
      </c>
      <c r="B22" s="5" t="s">
        <v>84</v>
      </c>
      <c r="C22" s="5" t="s">
        <v>85</v>
      </c>
      <c r="D22" s="5">
        <v>1</v>
      </c>
      <c r="E22" s="5" t="s">
        <v>86</v>
      </c>
      <c r="F22" s="5" t="s">
        <v>87</v>
      </c>
      <c r="G22" s="9">
        <v>85</v>
      </c>
      <c r="H22" s="9" t="s">
        <v>163</v>
      </c>
      <c r="I22" s="9" t="s">
        <v>163</v>
      </c>
      <c r="J22" s="9" t="s">
        <v>162</v>
      </c>
      <c r="K22" s="9" t="s">
        <v>163</v>
      </c>
      <c r="L22" s="6">
        <f t="shared" si="0"/>
        <v>3</v>
      </c>
      <c r="M22" s="6">
        <f t="shared" si="1"/>
        <v>1</v>
      </c>
      <c r="N22" s="7" t="str">
        <f t="shared" si="2"/>
        <v>Valid</v>
      </c>
    </row>
    <row r="23" spans="1:14" ht="20.100000000000001" customHeight="1" x14ac:dyDescent="0.25">
      <c r="A23" s="5">
        <v>17</v>
      </c>
      <c r="B23" s="5" t="s">
        <v>88</v>
      </c>
      <c r="C23" s="5" t="s">
        <v>89</v>
      </c>
      <c r="D23" s="5">
        <v>1</v>
      </c>
      <c r="E23" s="5" t="s">
        <v>90</v>
      </c>
      <c r="F23" s="5" t="s">
        <v>91</v>
      </c>
      <c r="G23" s="9">
        <v>88</v>
      </c>
      <c r="H23" s="9" t="s">
        <v>163</v>
      </c>
      <c r="I23" s="9" t="s">
        <v>163</v>
      </c>
      <c r="J23" s="9" t="s">
        <v>162</v>
      </c>
      <c r="K23" s="9" t="s">
        <v>162</v>
      </c>
      <c r="L23" s="6">
        <f t="shared" si="0"/>
        <v>2</v>
      </c>
      <c r="M23" s="6">
        <f t="shared" si="1"/>
        <v>2</v>
      </c>
      <c r="N23" s="7" t="str">
        <f t="shared" si="2"/>
        <v>Valid</v>
      </c>
    </row>
    <row r="24" spans="1:14" ht="20.100000000000001" customHeight="1" x14ac:dyDescent="0.25">
      <c r="A24" s="5">
        <v>18</v>
      </c>
      <c r="B24" s="5" t="s">
        <v>92</v>
      </c>
      <c r="C24" s="5" t="s">
        <v>93</v>
      </c>
      <c r="D24" s="5">
        <v>1</v>
      </c>
      <c r="E24" s="5" t="s">
        <v>94</v>
      </c>
      <c r="F24" s="5" t="s">
        <v>95</v>
      </c>
      <c r="G24" s="9">
        <v>90</v>
      </c>
      <c r="H24" s="9" t="s">
        <v>163</v>
      </c>
      <c r="I24" s="9" t="s">
        <v>163</v>
      </c>
      <c r="J24" s="9" t="s">
        <v>162</v>
      </c>
      <c r="K24" s="9" t="s">
        <v>162</v>
      </c>
      <c r="L24" s="6">
        <f t="shared" si="0"/>
        <v>2</v>
      </c>
      <c r="M24" s="6">
        <f t="shared" si="1"/>
        <v>2</v>
      </c>
      <c r="N24" s="7" t="str">
        <f t="shared" si="2"/>
        <v>Valid</v>
      </c>
    </row>
    <row r="25" spans="1:14" ht="20.100000000000001" customHeight="1" x14ac:dyDescent="0.25">
      <c r="A25" s="5">
        <v>19</v>
      </c>
      <c r="B25" s="5" t="s">
        <v>96</v>
      </c>
      <c r="C25" s="5" t="s">
        <v>97</v>
      </c>
      <c r="D25" s="5">
        <v>1</v>
      </c>
      <c r="E25" s="5" t="s">
        <v>98</v>
      </c>
      <c r="F25" s="5" t="s">
        <v>99</v>
      </c>
      <c r="G25" s="9">
        <v>85</v>
      </c>
      <c r="H25" s="9" t="s">
        <v>163</v>
      </c>
      <c r="I25" s="9" t="s">
        <v>163</v>
      </c>
      <c r="J25" s="9" t="s">
        <v>163</v>
      </c>
      <c r="K25" s="9" t="s">
        <v>162</v>
      </c>
      <c r="L25" s="6">
        <f t="shared" si="0"/>
        <v>3</v>
      </c>
      <c r="M25" s="6">
        <f t="shared" si="1"/>
        <v>1</v>
      </c>
      <c r="N25" s="7" t="str">
        <f t="shared" si="2"/>
        <v>Valid</v>
      </c>
    </row>
    <row r="26" spans="1:14" ht="20.100000000000001" customHeight="1" x14ac:dyDescent="0.25">
      <c r="A26" s="5">
        <v>20</v>
      </c>
      <c r="B26" s="5" t="s">
        <v>100</v>
      </c>
      <c r="C26" s="5" t="s">
        <v>101</v>
      </c>
      <c r="D26" s="5">
        <v>1</v>
      </c>
      <c r="E26" s="5" t="s">
        <v>102</v>
      </c>
      <c r="F26" s="5" t="s">
        <v>103</v>
      </c>
      <c r="G26" s="9">
        <v>84</v>
      </c>
      <c r="H26" s="9" t="s">
        <v>163</v>
      </c>
      <c r="I26" s="9" t="s">
        <v>163</v>
      </c>
      <c r="J26" s="9" t="s">
        <v>162</v>
      </c>
      <c r="K26" s="9" t="s">
        <v>162</v>
      </c>
      <c r="L26" s="6">
        <f t="shared" si="0"/>
        <v>2</v>
      </c>
      <c r="M26" s="6">
        <f t="shared" si="1"/>
        <v>2</v>
      </c>
      <c r="N26" s="7" t="str">
        <f t="shared" si="2"/>
        <v>Valid</v>
      </c>
    </row>
    <row r="27" spans="1:14" ht="20.100000000000001" customHeight="1" x14ac:dyDescent="0.25">
      <c r="A27" s="5">
        <v>21</v>
      </c>
      <c r="B27" s="5" t="s">
        <v>104</v>
      </c>
      <c r="C27" s="5" t="s">
        <v>105</v>
      </c>
      <c r="D27" s="5">
        <v>1</v>
      </c>
      <c r="E27" s="5" t="s">
        <v>106</v>
      </c>
      <c r="F27" s="5" t="s">
        <v>107</v>
      </c>
      <c r="G27" s="9">
        <v>88</v>
      </c>
      <c r="H27" s="9" t="s">
        <v>163</v>
      </c>
      <c r="I27" s="9" t="s">
        <v>163</v>
      </c>
      <c r="J27" s="9" t="s">
        <v>163</v>
      </c>
      <c r="K27" s="9" t="s">
        <v>162</v>
      </c>
      <c r="L27" s="6">
        <f t="shared" si="0"/>
        <v>3</v>
      </c>
      <c r="M27" s="6">
        <f t="shared" si="1"/>
        <v>1</v>
      </c>
      <c r="N27" s="7" t="str">
        <f t="shared" si="2"/>
        <v>Valid</v>
      </c>
    </row>
    <row r="28" spans="1:14" ht="20.100000000000001" customHeight="1" x14ac:dyDescent="0.25">
      <c r="A28" s="5">
        <v>22</v>
      </c>
      <c r="B28" s="5" t="s">
        <v>108</v>
      </c>
      <c r="C28" s="5" t="s">
        <v>109</v>
      </c>
      <c r="D28" s="5">
        <v>1</v>
      </c>
      <c r="E28" s="5" t="s">
        <v>110</v>
      </c>
      <c r="F28" s="5" t="s">
        <v>111</v>
      </c>
      <c r="G28" s="9">
        <v>87</v>
      </c>
      <c r="H28" s="9" t="s">
        <v>163</v>
      </c>
      <c r="I28" s="9" t="s">
        <v>163</v>
      </c>
      <c r="J28" s="9" t="s">
        <v>162</v>
      </c>
      <c r="K28" s="9" t="s">
        <v>163</v>
      </c>
      <c r="L28" s="6">
        <f t="shared" si="0"/>
        <v>3</v>
      </c>
      <c r="M28" s="6">
        <f t="shared" si="1"/>
        <v>1</v>
      </c>
      <c r="N28" s="7" t="str">
        <f t="shared" si="2"/>
        <v>Valid</v>
      </c>
    </row>
    <row r="29" spans="1:14" ht="20.100000000000001" customHeight="1" x14ac:dyDescent="0.25">
      <c r="A29" s="5">
        <v>23</v>
      </c>
      <c r="B29" s="5" t="s">
        <v>112</v>
      </c>
      <c r="C29" s="5" t="s">
        <v>113</v>
      </c>
      <c r="D29" s="5">
        <v>1</v>
      </c>
      <c r="E29" s="5" t="s">
        <v>114</v>
      </c>
      <c r="F29" s="5" t="s">
        <v>115</v>
      </c>
      <c r="G29" s="9">
        <v>90</v>
      </c>
      <c r="H29" s="9" t="s">
        <v>163</v>
      </c>
      <c r="I29" s="9" t="s">
        <v>163</v>
      </c>
      <c r="J29" s="9" t="s">
        <v>162</v>
      </c>
      <c r="K29" s="9" t="s">
        <v>162</v>
      </c>
      <c r="L29" s="6">
        <f t="shared" si="0"/>
        <v>2</v>
      </c>
      <c r="M29" s="6">
        <f t="shared" si="1"/>
        <v>2</v>
      </c>
      <c r="N29" s="7" t="str">
        <f t="shared" si="2"/>
        <v>Valid</v>
      </c>
    </row>
    <row r="30" spans="1:14" ht="20.100000000000001" customHeight="1" x14ac:dyDescent="0.25">
      <c r="A30" s="5">
        <v>24</v>
      </c>
      <c r="B30" s="5" t="s">
        <v>116</v>
      </c>
      <c r="C30" s="5" t="s">
        <v>117</v>
      </c>
      <c r="D30" s="5">
        <v>1</v>
      </c>
      <c r="E30" s="5" t="s">
        <v>118</v>
      </c>
      <c r="F30" s="5" t="s">
        <v>119</v>
      </c>
      <c r="G30" s="9">
        <v>90</v>
      </c>
      <c r="H30" s="9" t="s">
        <v>163</v>
      </c>
      <c r="I30" s="9" t="s">
        <v>163</v>
      </c>
      <c r="J30" s="9" t="s">
        <v>162</v>
      </c>
      <c r="K30" s="9" t="s">
        <v>162</v>
      </c>
      <c r="L30" s="6">
        <f t="shared" si="0"/>
        <v>2</v>
      </c>
      <c r="M30" s="6">
        <f t="shared" si="1"/>
        <v>2</v>
      </c>
      <c r="N30" s="7" t="str">
        <f t="shared" si="2"/>
        <v>Valid</v>
      </c>
    </row>
    <row r="31" spans="1:14" ht="20.100000000000001" customHeight="1" x14ac:dyDescent="0.25">
      <c r="A31" s="5">
        <v>25</v>
      </c>
      <c r="B31" s="5" t="s">
        <v>120</v>
      </c>
      <c r="C31" s="5" t="s">
        <v>121</v>
      </c>
      <c r="D31" s="5">
        <v>1</v>
      </c>
      <c r="E31" s="5" t="s">
        <v>122</v>
      </c>
      <c r="F31" s="5" t="s">
        <v>123</v>
      </c>
      <c r="G31" s="9">
        <v>87</v>
      </c>
      <c r="H31" s="9" t="s">
        <v>163</v>
      </c>
      <c r="I31" s="9" t="s">
        <v>163</v>
      </c>
      <c r="J31" s="9" t="s">
        <v>163</v>
      </c>
      <c r="K31" s="9" t="s">
        <v>162</v>
      </c>
      <c r="L31" s="6">
        <f t="shared" si="0"/>
        <v>3</v>
      </c>
      <c r="M31" s="6">
        <f t="shared" si="1"/>
        <v>1</v>
      </c>
      <c r="N31" s="7" t="str">
        <f t="shared" si="2"/>
        <v>Valid</v>
      </c>
    </row>
    <row r="32" spans="1:14" ht="20.100000000000001" customHeight="1" x14ac:dyDescent="0.25">
      <c r="A32" s="5">
        <v>26</v>
      </c>
      <c r="B32" s="5" t="s">
        <v>124</v>
      </c>
      <c r="C32" s="5" t="s">
        <v>125</v>
      </c>
      <c r="D32" s="5">
        <v>1</v>
      </c>
      <c r="E32" s="5" t="s">
        <v>126</v>
      </c>
      <c r="F32" s="5" t="s">
        <v>127</v>
      </c>
      <c r="G32" s="9">
        <v>92</v>
      </c>
      <c r="H32" s="9" t="s">
        <v>163</v>
      </c>
      <c r="I32" s="9" t="s">
        <v>163</v>
      </c>
      <c r="J32" s="9" t="s">
        <v>162</v>
      </c>
      <c r="K32" s="9" t="s">
        <v>162</v>
      </c>
      <c r="L32" s="6">
        <f t="shared" si="0"/>
        <v>2</v>
      </c>
      <c r="M32" s="6">
        <f t="shared" si="1"/>
        <v>2</v>
      </c>
      <c r="N32" s="7" t="str">
        <f t="shared" si="2"/>
        <v>Valid</v>
      </c>
    </row>
    <row r="33" spans="1:14" ht="20.100000000000001" customHeight="1" x14ac:dyDescent="0.25">
      <c r="A33" s="5">
        <v>27</v>
      </c>
      <c r="B33" s="5" t="s">
        <v>128</v>
      </c>
      <c r="C33" s="5" t="s">
        <v>129</v>
      </c>
      <c r="D33" s="5">
        <v>1</v>
      </c>
      <c r="E33" s="5" t="s">
        <v>130</v>
      </c>
      <c r="F33" s="5" t="s">
        <v>131</v>
      </c>
      <c r="G33" s="9">
        <v>84</v>
      </c>
      <c r="H33" s="9" t="s">
        <v>163</v>
      </c>
      <c r="I33" s="9" t="s">
        <v>163</v>
      </c>
      <c r="J33" s="9" t="s">
        <v>163</v>
      </c>
      <c r="K33" s="9" t="s">
        <v>162</v>
      </c>
      <c r="L33" s="6">
        <f t="shared" si="0"/>
        <v>3</v>
      </c>
      <c r="M33" s="6">
        <f t="shared" si="1"/>
        <v>1</v>
      </c>
      <c r="N33" s="7" t="str">
        <f t="shared" si="2"/>
        <v>Valid</v>
      </c>
    </row>
    <row r="34" spans="1:14" ht="20.100000000000001" customHeight="1" x14ac:dyDescent="0.25">
      <c r="A34" s="5">
        <v>28</v>
      </c>
      <c r="B34" s="5" t="s">
        <v>132</v>
      </c>
      <c r="C34" s="5" t="s">
        <v>133</v>
      </c>
      <c r="D34" s="5">
        <v>1</v>
      </c>
      <c r="E34" s="5" t="s">
        <v>134</v>
      </c>
      <c r="F34" s="5" t="s">
        <v>135</v>
      </c>
      <c r="G34" s="9">
        <v>79</v>
      </c>
      <c r="H34" s="9" t="s">
        <v>163</v>
      </c>
      <c r="I34" s="9" t="s">
        <v>163</v>
      </c>
      <c r="J34" s="9" t="s">
        <v>163</v>
      </c>
      <c r="K34" s="9" t="s">
        <v>162</v>
      </c>
      <c r="L34" s="6">
        <f t="shared" si="0"/>
        <v>3</v>
      </c>
      <c r="M34" s="6">
        <f t="shared" si="1"/>
        <v>1</v>
      </c>
      <c r="N34" s="7" t="str">
        <f t="shared" si="2"/>
        <v>Valid</v>
      </c>
    </row>
    <row r="35" spans="1:14" ht="20.100000000000001" customHeight="1" x14ac:dyDescent="0.25">
      <c r="A35" s="5">
        <v>29</v>
      </c>
      <c r="B35" s="5" t="s">
        <v>136</v>
      </c>
      <c r="C35" s="5" t="s">
        <v>137</v>
      </c>
      <c r="D35" s="5">
        <v>1</v>
      </c>
      <c r="E35" s="5" t="s">
        <v>138</v>
      </c>
      <c r="F35" s="5" t="s">
        <v>139</v>
      </c>
      <c r="G35" s="9">
        <v>85</v>
      </c>
      <c r="H35" s="9" t="s">
        <v>163</v>
      </c>
      <c r="I35" s="9" t="s">
        <v>163</v>
      </c>
      <c r="J35" s="9" t="s">
        <v>162</v>
      </c>
      <c r="K35" s="9" t="s">
        <v>162</v>
      </c>
      <c r="L35" s="6">
        <f t="shared" si="0"/>
        <v>2</v>
      </c>
      <c r="M35" s="6">
        <f t="shared" si="1"/>
        <v>2</v>
      </c>
      <c r="N35" s="7" t="str">
        <f t="shared" si="2"/>
        <v>Valid</v>
      </c>
    </row>
    <row r="36" spans="1:14" ht="20.100000000000001" customHeight="1" x14ac:dyDescent="0.25">
      <c r="A36" s="5">
        <v>30</v>
      </c>
      <c r="B36" s="5" t="s">
        <v>140</v>
      </c>
      <c r="C36" s="5" t="s">
        <v>141</v>
      </c>
      <c r="D36" s="5">
        <v>1</v>
      </c>
      <c r="E36" s="5" t="s">
        <v>142</v>
      </c>
      <c r="F36" s="5" t="s">
        <v>143</v>
      </c>
      <c r="G36" s="9">
        <v>86</v>
      </c>
      <c r="H36" s="9" t="s">
        <v>163</v>
      </c>
      <c r="I36" s="9" t="s">
        <v>163</v>
      </c>
      <c r="J36" s="9" t="s">
        <v>162</v>
      </c>
      <c r="K36" s="9" t="s">
        <v>162</v>
      </c>
      <c r="L36" s="6">
        <f t="shared" si="0"/>
        <v>2</v>
      </c>
      <c r="M36" s="6">
        <f t="shared" si="1"/>
        <v>2</v>
      </c>
      <c r="N36" s="7" t="str">
        <f t="shared" si="2"/>
        <v>Valid</v>
      </c>
    </row>
    <row r="37" spans="1:14" ht="20.100000000000001" customHeight="1" x14ac:dyDescent="0.25">
      <c r="A37" s="5">
        <v>31</v>
      </c>
      <c r="B37" s="5" t="s">
        <v>144</v>
      </c>
      <c r="C37" s="5" t="s">
        <v>145</v>
      </c>
      <c r="D37" s="5">
        <v>1</v>
      </c>
      <c r="E37" s="5" t="s">
        <v>146</v>
      </c>
      <c r="F37" s="5" t="s">
        <v>147</v>
      </c>
      <c r="G37" s="9">
        <v>85</v>
      </c>
      <c r="H37" s="9" t="s">
        <v>163</v>
      </c>
      <c r="I37" s="9" t="s">
        <v>163</v>
      </c>
      <c r="J37" s="9" t="s">
        <v>163</v>
      </c>
      <c r="K37" s="9" t="s">
        <v>162</v>
      </c>
      <c r="L37" s="6">
        <f t="shared" si="0"/>
        <v>3</v>
      </c>
      <c r="M37" s="6">
        <f t="shared" si="1"/>
        <v>1</v>
      </c>
      <c r="N37" s="7" t="str">
        <f t="shared" si="2"/>
        <v>Valid</v>
      </c>
    </row>
    <row r="38" spans="1:14" ht="20.100000000000001" customHeight="1" x14ac:dyDescent="0.25">
      <c r="A38" s="5">
        <v>32</v>
      </c>
      <c r="B38" s="5" t="s">
        <v>148</v>
      </c>
      <c r="C38" s="5" t="s">
        <v>149</v>
      </c>
      <c r="D38" s="5">
        <v>1</v>
      </c>
      <c r="E38" s="5" t="s">
        <v>150</v>
      </c>
      <c r="F38" s="5" t="s">
        <v>151</v>
      </c>
      <c r="G38" s="9">
        <v>90</v>
      </c>
      <c r="H38" s="9" t="s">
        <v>163</v>
      </c>
      <c r="I38" s="9" t="s">
        <v>163</v>
      </c>
      <c r="J38" s="9" t="s">
        <v>162</v>
      </c>
      <c r="K38" s="9" t="s">
        <v>162</v>
      </c>
      <c r="L38" s="6">
        <f t="shared" si="0"/>
        <v>2</v>
      </c>
      <c r="M38" s="6">
        <f t="shared" si="1"/>
        <v>2</v>
      </c>
      <c r="N38" s="7" t="str">
        <f t="shared" si="2"/>
        <v>Valid</v>
      </c>
    </row>
    <row r="40" spans="1:14" ht="15.75" x14ac:dyDescent="0.25">
      <c r="A40" s="1" t="s">
        <v>152</v>
      </c>
    </row>
    <row r="41" spans="1:14" x14ac:dyDescent="0.25">
      <c r="A41" t="s">
        <v>153</v>
      </c>
    </row>
    <row r="42" spans="1:14" x14ac:dyDescent="0.25">
      <c r="A42" t="s">
        <v>154</v>
      </c>
    </row>
    <row r="43" spans="1:14" x14ac:dyDescent="0.25">
      <c r="A43" t="s">
        <v>155</v>
      </c>
    </row>
    <row r="44" spans="1:14" x14ac:dyDescent="0.25">
      <c r="A44" t="s">
        <v>156</v>
      </c>
    </row>
    <row r="45" spans="1:14" x14ac:dyDescent="0.25">
      <c r="A45" s="2" t="s">
        <v>157</v>
      </c>
    </row>
    <row r="46" spans="1:14" x14ac:dyDescent="0.25">
      <c r="A46" t="s">
        <v>158</v>
      </c>
    </row>
    <row r="47" spans="1:14" x14ac:dyDescent="0.25">
      <c r="A47" t="s">
        <v>159</v>
      </c>
    </row>
    <row r="48" spans="1:14" x14ac:dyDescent="0.25">
      <c r="A48" t="s">
        <v>160</v>
      </c>
    </row>
    <row r="49" spans="1:1" x14ac:dyDescent="0.25">
      <c r="A49" t="s">
        <v>161</v>
      </c>
    </row>
  </sheetData>
  <sheetProtection password="E249" sheet="1"/>
  <mergeCells count="9">
    <mergeCell ref="F3:F6"/>
    <mergeCell ref="G3:G6"/>
    <mergeCell ref="H3:K3"/>
    <mergeCell ref="L3:N3"/>
    <mergeCell ref="A3:A6"/>
    <mergeCell ref="B3:B6"/>
    <mergeCell ref="C3:C6"/>
    <mergeCell ref="D3:D6"/>
    <mergeCell ref="E3:E6"/>
  </mergeCells>
  <dataValidations count="2">
    <dataValidation type="whole" showDropDown="1" showInputMessage="1" showErrorMessage="1" errorTitle="Input Salah" error="Hanya boleh memasukkan angka antara 1 dan 100." promptTitle="Input Angka" prompt="Masukkan angka antara 1 dan 100." sqref="G7:G38" xr:uid="{00000000-0002-0000-0000-000000000000}">
      <formula1>1</formula1>
      <formula2>100</formula2>
    </dataValidation>
    <dataValidation type="list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:K38" xr:uid="{00000000-0002-0000-0000-000001000000}">
      <formula1>"T,R"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 mbcell</cp:lastModifiedBy>
  <dcterms:created xsi:type="dcterms:W3CDTF">2025-12-08T00:14:37Z</dcterms:created>
  <dcterms:modified xsi:type="dcterms:W3CDTF">2025-12-11T23:57:42Z</dcterms:modified>
  <cp:category/>
</cp:coreProperties>
</file>