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DOC BAYU\DATA SEMSETER 1 TA 2025 2026\RAPOR KELAS 7\SEMESTER 1\IMPOR NILAI\"/>
    </mc:Choice>
  </mc:AlternateContent>
  <xr:revisionPtr revIDLastSave="0" documentId="13_ncr:1_{207E2B54-FBC4-43FE-83C7-7370A3D3B7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8" i="1" l="1"/>
  <c r="L38" i="1"/>
  <c r="N38" i="1" s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N31" i="1" s="1"/>
  <c r="M30" i="1"/>
  <c r="L30" i="1"/>
  <c r="M29" i="1"/>
  <c r="L29" i="1"/>
  <c r="N29" i="1" s="1"/>
  <c r="M28" i="1"/>
  <c r="L28" i="1"/>
  <c r="N28" i="1" s="1"/>
  <c r="M27" i="1"/>
  <c r="L27" i="1"/>
  <c r="N27" i="1" s="1"/>
  <c r="M26" i="1"/>
  <c r="L26" i="1"/>
  <c r="N26" i="1" s="1"/>
  <c r="M25" i="1"/>
  <c r="L25" i="1"/>
  <c r="N25" i="1" s="1"/>
  <c r="M24" i="1"/>
  <c r="N24" i="1" s="1"/>
  <c r="L24" i="1"/>
  <c r="M23" i="1"/>
  <c r="L23" i="1"/>
  <c r="N23" i="1" s="1"/>
  <c r="M22" i="1"/>
  <c r="L22" i="1"/>
  <c r="M21" i="1"/>
  <c r="L21" i="1"/>
  <c r="N21" i="1" s="1"/>
  <c r="M20" i="1"/>
  <c r="L20" i="1"/>
  <c r="M19" i="1"/>
  <c r="L19" i="1"/>
  <c r="N19" i="1" s="1"/>
  <c r="M18" i="1"/>
  <c r="L18" i="1"/>
  <c r="N18" i="1" s="1"/>
  <c r="M17" i="1"/>
  <c r="N17" i="1" s="1"/>
  <c r="L17" i="1"/>
  <c r="M16" i="1"/>
  <c r="L16" i="1"/>
  <c r="N16" i="1" s="1"/>
  <c r="M15" i="1"/>
  <c r="L15" i="1"/>
  <c r="M14" i="1"/>
  <c r="L14" i="1"/>
  <c r="M13" i="1"/>
  <c r="L13" i="1"/>
  <c r="M12" i="1"/>
  <c r="L12" i="1"/>
  <c r="N12" i="1" s="1"/>
  <c r="M11" i="1"/>
  <c r="L11" i="1"/>
  <c r="M10" i="1"/>
  <c r="L10" i="1"/>
  <c r="N10" i="1" s="1"/>
  <c r="M9" i="1"/>
  <c r="L9" i="1"/>
  <c r="N9" i="1" s="1"/>
  <c r="M8" i="1"/>
  <c r="L8" i="1"/>
  <c r="N8" i="1" s="1"/>
  <c r="M7" i="1"/>
  <c r="L7" i="1"/>
  <c r="N37" i="1" l="1"/>
  <c r="N34" i="1"/>
  <c r="N32" i="1"/>
  <c r="N30" i="1"/>
  <c r="N7" i="1"/>
  <c r="N14" i="1"/>
  <c r="N36" i="1"/>
  <c r="N11" i="1"/>
  <c r="N13" i="1"/>
  <c r="N15" i="1"/>
  <c r="N20" i="1"/>
  <c r="N22" i="1"/>
  <c r="N33" i="1"/>
  <c r="N35" i="1"/>
</calcChain>
</file>

<file path=xl/sharedStrings.xml><?xml version="1.0" encoding="utf-8"?>
<sst xmlns="http://schemas.openxmlformats.org/spreadsheetml/2006/main" count="292" uniqueCount="164">
  <si>
    <t xml:space="preserve">FORMAT IMPORT NILAI RAPOR INFORMATIKA, KELAS  KELAS 7G </t>
  </si>
  <si>
    <t>e647f0eb-d9ca-41bc-b3aa-0521a88cfed6</t>
  </si>
  <si>
    <t>NO</t>
  </si>
  <si>
    <t>NILRPT</t>
  </si>
  <si>
    <t>NISN</t>
  </si>
  <si>
    <t>NAMA SISWA</t>
  </si>
  <si>
    <t>NILAI RAPOR</t>
  </si>
  <si>
    <t>TINGKAT KETERCAPAIAN TP</t>
  </si>
  <si>
    <t>cba8d1bb-3655-4956-b1fa-29a6b9af18ea</t>
  </si>
  <si>
    <t xml:space="preserve">memanfaatkan TIK antar muka pengguna, surel, peramban pencarian informasi, dan aplikasi perkantoran </t>
  </si>
  <si>
    <t>TP.711</t>
  </si>
  <si>
    <t>c8dbf5c6-b4cd-4993-a502-095f289c3df5</t>
  </si>
  <si>
    <t xml:space="preserve">menjelaskan komponen, fungsi, cara kerja komputer (sistem komputasi), dan memahami kodifikasi data </t>
  </si>
  <si>
    <t>TP.713</t>
  </si>
  <si>
    <t>40895aa8-9ac4-4107-ba56-0e0223db1aba</t>
  </si>
  <si>
    <t>Memahami dampak positif dan negatif teknologi informasi, keamanan data pribadi dan berkolaborasi.</t>
  </si>
  <si>
    <t>TP.714</t>
  </si>
  <si>
    <t>eed91b03-902c-4e3f-bcb8-8d2bd4451e2f</t>
  </si>
  <si>
    <t>mengenal konektivitas internet, jaringan lokal, dan komunikasi data, serta memahami enkripsi data</t>
  </si>
  <si>
    <t>TP.715</t>
  </si>
  <si>
    <t>VALIDASI</t>
  </si>
  <si>
    <t>TR</t>
  </si>
  <si>
    <t>OP</t>
  </si>
  <si>
    <t>NILAI</t>
  </si>
  <si>
    <t>83df4454-1521-44e9-bc75-fa3751a75983</t>
  </si>
  <si>
    <t>90462b27-5c57-4c20-a9bb-3348ae1cc8a9</t>
  </si>
  <si>
    <t>0111103949</t>
  </si>
  <si>
    <t>ABDUL MUGHNI FAQIH FADLI</t>
  </si>
  <si>
    <t>96b88025-2b92-400c-8b99-ddf94b671c2d</t>
  </si>
  <si>
    <t>c581ed14-8b8b-4573-93bb-ac255bbec38a</t>
  </si>
  <si>
    <t>0122648597</t>
  </si>
  <si>
    <t>AGUS MUHAMMAD RAMADLAN</t>
  </si>
  <si>
    <t>4149a539-8a90-42bc-8ba1-bae3adb2ff6c</t>
  </si>
  <si>
    <t>1fa1a8be-f32f-4408-806e-47b1d78caab7</t>
  </si>
  <si>
    <t>0121808021</t>
  </si>
  <si>
    <t>AIZYA FITRI RAHMADANI</t>
  </si>
  <si>
    <t>082076c3-7b0d-4a83-914c-8a7e86da6e0c</t>
  </si>
  <si>
    <t>706e24be-887b-41a4-b5b7-fdcf4741a74a</t>
  </si>
  <si>
    <t>3122501047</t>
  </si>
  <si>
    <t>ALENKA ILMA SAFITRI</t>
  </si>
  <si>
    <t>c2afbe4a-aa13-45b8-a820-db456bacbce0</t>
  </si>
  <si>
    <t>abb3a207-ed1e-44e1-b8ae-d9a37115b4b6</t>
  </si>
  <si>
    <t>3127433723</t>
  </si>
  <si>
    <t>ALFIANA NAJWA KAMILA</t>
  </si>
  <si>
    <t>ebdf7438-ada0-4bd6-b0b9-d7184c17e1d9</t>
  </si>
  <si>
    <t>9b95f059-eee2-4749-a027-0bc9ed0821fd</t>
  </si>
  <si>
    <t>3139704523</t>
  </si>
  <si>
    <t>ALYA SYAHIDAH TOYIBAH</t>
  </si>
  <si>
    <t>63890feb-bc32-4206-85cc-2cb88b15e832</t>
  </si>
  <si>
    <t>e1864cfe-ee42-4f75-880d-485dc7546b68</t>
  </si>
  <si>
    <t>3122966404</t>
  </si>
  <si>
    <t>ASSYAFAA ANGGYTA APRILIA</t>
  </si>
  <si>
    <t>2ceb840e-c9ad-49eb-8bb1-0bda032debf6</t>
  </si>
  <si>
    <t>38419603-25e4-4793-b431-521f917ed52f</t>
  </si>
  <si>
    <t>3138915434</t>
  </si>
  <si>
    <t>ATANA RAHMA FATIMAH</t>
  </si>
  <si>
    <t>86f1440e-f4f9-4eba-a42d-f6fac2837139</t>
  </si>
  <si>
    <t>0b2c8023-aa94-49aa-8199-935700c3ab68</t>
  </si>
  <si>
    <t>0124446380</t>
  </si>
  <si>
    <t>ATAYA FITRA MUNADHIL</t>
  </si>
  <si>
    <t>ed026fd0-e185-48c8-be94-c4bf9c1751a5</t>
  </si>
  <si>
    <t>2295c78f-ff91-460b-826a-cbe456dddae3</t>
  </si>
  <si>
    <t>3131912857</t>
  </si>
  <si>
    <t>BALQIS UFAIRA MUSYAFFA</t>
  </si>
  <si>
    <t>24f861c4-b967-40d3-88fa-93b87e6a077c</t>
  </si>
  <si>
    <t>b190121e-b64e-4946-9d79-6c3830cd0bcd</t>
  </si>
  <si>
    <t>0137158375</t>
  </si>
  <si>
    <t>DIA NATASYA ABAZZAHRA</t>
  </si>
  <si>
    <t>442191eb-2bd2-4b8e-a08c-3909e9bd657b</t>
  </si>
  <si>
    <t>b4e36d3e-1e00-4d22-a423-050502468b31</t>
  </si>
  <si>
    <t>0124298485</t>
  </si>
  <si>
    <t>DIKA AJI SAPUTRA</t>
  </si>
  <si>
    <t>f92e6b23-dca7-41bb-bf6d-414e4d9be665</t>
  </si>
  <si>
    <t>247a8aca-c98b-490a-aa37-78e367d91383</t>
  </si>
  <si>
    <t>0132600338</t>
  </si>
  <si>
    <t>FADIA CHASNA MAULIDA</t>
  </si>
  <si>
    <t>7b5ad95c-53aa-4aaa-8716-e7004d548cd1</t>
  </si>
  <si>
    <t>22f9b02c-3a2f-413f-9508-45ef37a4b2fb</t>
  </si>
  <si>
    <t>0137561703</t>
  </si>
  <si>
    <t>FARAH NUR MILATI</t>
  </si>
  <si>
    <t>46cdf4c6-27e1-11ec-a3a1-42010aba8125</t>
  </si>
  <si>
    <t>c9dff240-7aad-46ec-a200-bb1b2570ba84</t>
  </si>
  <si>
    <t>0126637909</t>
  </si>
  <si>
    <t>GORA ABI GYANDRA</t>
  </si>
  <si>
    <t>18a4b7fe-e14b-4c48-996f-c1672f9a27bf</t>
  </si>
  <si>
    <t>4abba1a4-8e65-4f9a-859f-59d4ccfcd23e</t>
  </si>
  <si>
    <t>0133901623</t>
  </si>
  <si>
    <t>LATIFA QOT RUNNADA</t>
  </si>
  <si>
    <t>47dac9ea-d958-4f53-9d44-9f4230b87ea4</t>
  </si>
  <si>
    <t>eb68be5c-bb43-4428-a07a-b7fe539c0612</t>
  </si>
  <si>
    <t>3129579478</t>
  </si>
  <si>
    <t>MAULA IKRIMA</t>
  </si>
  <si>
    <t>85e92223-2e57-4409-b458-de38cb30ac3b</t>
  </si>
  <si>
    <t>c202db7d-5496-4b45-8540-0756099d66eb</t>
  </si>
  <si>
    <t>0127996093</t>
  </si>
  <si>
    <t>MAULIDA NADIFA</t>
  </si>
  <si>
    <t>0b369510-5b71-4666-98f7-e9e1d723a293</t>
  </si>
  <si>
    <t>c6485190-1d25-46ca-991d-1a295c124386</t>
  </si>
  <si>
    <t>0133133422</t>
  </si>
  <si>
    <t>MUHAMAD AKASYAH MUNGGARAN</t>
  </si>
  <si>
    <t>774a5e41-adf9-4ebf-bdaf-03b43fe86455</t>
  </si>
  <si>
    <t>6c64e785-7424-453e-a924-3f1f69fb2f83</t>
  </si>
  <si>
    <t>0125389816</t>
  </si>
  <si>
    <t>MUHAMAD FATKHUL YASA</t>
  </si>
  <si>
    <t>c259d992-3799-46e8-af7e-20b217963bd8</t>
  </si>
  <si>
    <t>4d744cf0-24d3-49a6-bf80-d0dc9d1ab6ee</t>
  </si>
  <si>
    <t>3133695712</t>
  </si>
  <si>
    <t>MUHAMAD IQBAL BAIHAQI</t>
  </si>
  <si>
    <t>4c21bca7-fd4b-4357-aaa6-2794b86d72d1</t>
  </si>
  <si>
    <t>4d7ba8a3-0ae6-41d3-9b37-68b1e47fb9ea</t>
  </si>
  <si>
    <t>3122746577</t>
  </si>
  <si>
    <t>MUHAMAD KHAFID SAFA</t>
  </si>
  <si>
    <t>645619e7-91c3-4bef-b1f2-b8645cf967eb</t>
  </si>
  <si>
    <t>b4bdd232-654b-4b34-b535-1dcde983852d</t>
  </si>
  <si>
    <t>3132489432</t>
  </si>
  <si>
    <t>MUHAMMAD NAJMY BAIHAQI KAIZAN AL-JAMAL</t>
  </si>
  <si>
    <t>a7516c70-d967-4edc-8bcb-5c68a3f8325f</t>
  </si>
  <si>
    <t>45c58926-db34-44d6-a157-35fec16f03a4</t>
  </si>
  <si>
    <t>3127286556</t>
  </si>
  <si>
    <t>MUHAMMAD NUZLUL RAMADHANI</t>
  </si>
  <si>
    <t>e3650e7e-f947-424c-9ce9-ba7dbc8edaa5</t>
  </si>
  <si>
    <t>2dc03ce7-4d78-4919-902c-062f28858467</t>
  </si>
  <si>
    <t>3126022298</t>
  </si>
  <si>
    <t>MUHAMMAD RASYA ADITIYA PRATAMA</t>
  </si>
  <si>
    <t>b3b96743-1dec-43d4-9af2-b3301441687a</t>
  </si>
  <si>
    <t>098f42da-2962-4a08-ad2f-4e826a6accb0</t>
  </si>
  <si>
    <t>3120552028</t>
  </si>
  <si>
    <t>MUHAMMAD UWAIS ALTAF</t>
  </si>
  <si>
    <t>40be8b73-ea5a-4ded-b2ca-dbc7b110308e</t>
  </si>
  <si>
    <t>a0e90002-3551-4b48-8abf-d54338bc98f9</t>
  </si>
  <si>
    <t>0127559803</t>
  </si>
  <si>
    <t>MUKHAMAD ARFAUL ARKHAM</t>
  </si>
  <si>
    <t>e9eb752b-258c-467b-82ac-af655b8b6453</t>
  </si>
  <si>
    <t>6461382d-c7fa-480e-bf95-b47bdedbc9ac</t>
  </si>
  <si>
    <t>0138272289</t>
  </si>
  <si>
    <t>NADHIRA RIFATUL AESI</t>
  </si>
  <si>
    <t>a7823309-1d1b-492c-adf8-f69118c42461</t>
  </si>
  <si>
    <t>46502dce-fe3c-4bfa-8a3a-02b3f9af80c4</t>
  </si>
  <si>
    <t>3120643710</t>
  </si>
  <si>
    <t>NADIN KHOIRUNNAJWA</t>
  </si>
  <si>
    <t>2d224752-f8c0-4ea6-8e4f-568283be37c6</t>
  </si>
  <si>
    <t>c7f21235-5184-4849-b179-6bf46c9d1ff9</t>
  </si>
  <si>
    <t>0133735298</t>
  </si>
  <si>
    <t>NATASYA ADZIKRI ANINDA</t>
  </si>
  <si>
    <t>fee4b084-4cd8-4e48-87e5-d83bd094bb75</t>
  </si>
  <si>
    <t>ef692aee-523f-4f1d-8d65-07b9213a4d1e</t>
  </si>
  <si>
    <t>3138262525</t>
  </si>
  <si>
    <t>QAISTIA ANZILNA SEPTIANI</t>
  </si>
  <si>
    <t>cc430554-5460-4f95-bf35-e33350659331</t>
  </si>
  <si>
    <t>afc567fa-2d89-48fd-8c0d-f91ca9db7a75</t>
  </si>
  <si>
    <t>0134864237</t>
  </si>
  <si>
    <t>SHIDQIYA SHOFIANA PUTRI</t>
  </si>
  <si>
    <t>KETERANGAN :</t>
  </si>
  <si>
    <t xml:space="preserve"> &gt; TP.711 : memanfaatkan TIK antar muka pengguna, surel, peramban pencarian informasi, dan aplikasi perkantoran </t>
  </si>
  <si>
    <t xml:space="preserve"> &gt; TP.713 : menjelaskan komponen, fungsi, cara kerja komputer (sistem komputasi), dan memahami kodifikasi data </t>
  </si>
  <si>
    <t xml:space="preserve"> &gt; TP.714 : Memahami dampak positif dan negatif teknologi informasi, keamanan data pribadi dan berkolaborasi.</t>
  </si>
  <si>
    <t xml:space="preserve"> &gt; TP.715 : mengenal konektivitas internet, jaringan lokal, dan komunikasi data, serta memahami enkripsi data</t>
  </si>
  <si>
    <t>Catatan Validasi:</t>
  </si>
  <si>
    <t xml:space="preserve"> &gt; Jika Nilai Rapor Siswa kurang dari 100, silahkah dipilih Tujuan Pembelajaran mana saja yang masih perlu peningkatan (minimal 1)</t>
  </si>
  <si>
    <t xml:space="preserve"> &gt; Selain memilih Tujuan Pembelajaran yang masih perlu peningkatan, pilih juga Tujuan Pembelajaran yang mana saja sudah dicapai dengan sangat optimal (minimal 1)</t>
  </si>
  <si>
    <t xml:space="preserve"> &gt; Tidak mesti semua Tujuan Pembelajaran yarus dipilih, minimal pilih satu yang paling optimal dan satu yang paling minimal</t>
  </si>
  <si>
    <t xml:space="preserve"> &gt; Pahami Konsep Pembelajaran dan Asesmen sebagaimana telah dimuat pada Buku Panduan PPA agar tidak keliru dalam memahami format nilai rapor ini.</t>
  </si>
  <si>
    <t>T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</si>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</sst>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</font>
    <font>
      <b/>
      <sz val="12"/>
      <color rgb="FFFFFF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 applyProtection="1">
      <alignment vertical="top" wrapText="1"/>
      <protection hidden="1"/>
    </xf>
    <xf numFmtId="0" fontId="5" fillId="2" borderId="1" xfId="0" applyFont="1" applyFill="1" applyBorder="1" applyAlignment="1" applyProtection="1">
      <alignment horizontal="center" vertical="top" wrapText="1"/>
      <protection locked="0"/>
    </xf>
    <xf numFmtId="0" fontId="0" fillId="0" borderId="1" xfId="0" applyBorder="1" applyAlignment="1" applyProtection="1">
      <alignment horizontal="center" vertical="top" wrapText="1"/>
      <protection locked="0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 applyProtection="1">
      <alignment horizontal="center" vertical="top" wrapText="1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topLeftCell="A30" workbookViewId="0">
      <selection activeCell="R10" sqref="R10"/>
    </sheetView>
  </sheetViews>
  <sheetFormatPr defaultRowHeight="15" x14ac:dyDescent="0.25"/>
  <cols>
    <col min="1" max="1" width="5" customWidth="1"/>
    <col min="2" max="4" width="0" hidden="1" customWidth="1"/>
    <col min="5" max="5" width="13" customWidth="1"/>
    <col min="6" max="6" width="45.85546875" bestFit="1" customWidth="1"/>
    <col min="7" max="7" width="17.7109375" bestFit="1" customWidth="1"/>
    <col min="8" max="11" width="10" customWidth="1"/>
    <col min="12" max="13" width="0" hidden="1" customWidth="1"/>
    <col min="14" max="14" width="15" customWidth="1"/>
  </cols>
  <sheetData>
    <row r="1" spans="1:14" ht="18.75" x14ac:dyDescent="0.3">
      <c r="A1" s="3" t="s">
        <v>0</v>
      </c>
      <c r="B1">
        <v>14</v>
      </c>
    </row>
    <row r="2" spans="1:14" x14ac:dyDescent="0.25">
      <c r="B2">
        <v>38</v>
      </c>
      <c r="C2" t="s">
        <v>1</v>
      </c>
      <c r="D2">
        <v>700106100</v>
      </c>
    </row>
    <row r="3" spans="1:14" ht="24.95" customHeight="1" x14ac:dyDescent="0.25">
      <c r="A3" s="10" t="s">
        <v>2</v>
      </c>
      <c r="B3" s="10" t="s">
        <v>3</v>
      </c>
      <c r="C3" s="10" t="s">
        <v>3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/>
      <c r="J3" s="10"/>
      <c r="K3" s="10"/>
      <c r="L3" s="10" t="s">
        <v>20</v>
      </c>
      <c r="M3" s="10"/>
      <c r="N3" s="10"/>
    </row>
    <row r="4" spans="1:14" ht="0" hidden="1" customHeight="1" x14ac:dyDescent="0.25">
      <c r="A4" s="11"/>
      <c r="B4" s="11"/>
      <c r="C4" s="11"/>
      <c r="D4" s="11"/>
      <c r="E4" s="11"/>
      <c r="F4" s="11"/>
      <c r="G4" s="12"/>
      <c r="H4" s="8" t="s">
        <v>8</v>
      </c>
      <c r="I4" s="8" t="s">
        <v>11</v>
      </c>
      <c r="J4" s="8" t="s">
        <v>14</v>
      </c>
      <c r="K4" s="8" t="s">
        <v>17</v>
      </c>
      <c r="L4" s="4"/>
      <c r="M4" s="4"/>
      <c r="N4" s="4"/>
    </row>
    <row r="5" spans="1:14" ht="0" hidden="1" customHeight="1" x14ac:dyDescent="0.25">
      <c r="A5" s="11"/>
      <c r="B5" s="11"/>
      <c r="C5" s="11"/>
      <c r="D5" s="11"/>
      <c r="E5" s="11"/>
      <c r="F5" s="11"/>
      <c r="G5" s="12"/>
      <c r="H5" s="8" t="s">
        <v>9</v>
      </c>
      <c r="I5" s="8" t="s">
        <v>12</v>
      </c>
      <c r="J5" s="8" t="s">
        <v>15</v>
      </c>
      <c r="K5" s="8" t="s">
        <v>18</v>
      </c>
      <c r="L5" s="4"/>
      <c r="M5" s="4"/>
      <c r="N5" s="4"/>
    </row>
    <row r="6" spans="1:14" x14ac:dyDescent="0.25">
      <c r="A6" s="11"/>
      <c r="B6" s="11"/>
      <c r="C6" s="11"/>
      <c r="D6" s="11"/>
      <c r="E6" s="11"/>
      <c r="F6" s="11"/>
      <c r="G6" s="12"/>
      <c r="H6" s="8" t="s">
        <v>10</v>
      </c>
      <c r="I6" s="8" t="s">
        <v>13</v>
      </c>
      <c r="J6" s="8" t="s">
        <v>16</v>
      </c>
      <c r="K6" s="8" t="s">
        <v>19</v>
      </c>
      <c r="L6" s="4" t="s">
        <v>21</v>
      </c>
      <c r="M6" s="4" t="s">
        <v>22</v>
      </c>
      <c r="N6" s="4" t="s">
        <v>23</v>
      </c>
    </row>
    <row r="7" spans="1:14" ht="20.100000000000001" customHeight="1" x14ac:dyDescent="0.25">
      <c r="A7" s="5">
        <v>1</v>
      </c>
      <c r="B7" s="5" t="s">
        <v>24</v>
      </c>
      <c r="C7" s="5" t="s">
        <v>25</v>
      </c>
      <c r="D7" s="5">
        <v>1</v>
      </c>
      <c r="E7" s="5" t="s">
        <v>26</v>
      </c>
      <c r="F7" s="5" t="s">
        <v>27</v>
      </c>
      <c r="G7" s="9">
        <v>89</v>
      </c>
      <c r="H7" s="9" t="s">
        <v>163</v>
      </c>
      <c r="I7" s="9" t="s">
        <v>163</v>
      </c>
      <c r="J7" s="9" t="s">
        <v>162</v>
      </c>
      <c r="K7" s="9" t="s">
        <v>163</v>
      </c>
      <c r="L7" s="6">
        <f t="shared" ref="L7:L38" si="0">COUNTIF(H7:K7,"R")</f>
        <v>3</v>
      </c>
      <c r="M7" s="6">
        <f t="shared" ref="M7:M38" si="1">COUNTIF(H7:K7,"T")</f>
        <v>1</v>
      </c>
      <c r="N7" s="7" t="str">
        <f t="shared" ref="N7:N38" si="2">IF(G7="","",IF(G7=100,IF(L7&gt;0,"Tidak Valid",IF((L7+M7)&gt;0,"Valid","Tidak Valid")),IF(L7=0,"Tidak Valid",IF((L7+M7)&gt;0,"Valid","Tidak Valid"))))</f>
        <v>Valid</v>
      </c>
    </row>
    <row r="8" spans="1:14" ht="20.100000000000001" customHeight="1" x14ac:dyDescent="0.25">
      <c r="A8" s="5">
        <v>2</v>
      </c>
      <c r="B8" s="5" t="s">
        <v>28</v>
      </c>
      <c r="C8" s="5" t="s">
        <v>29</v>
      </c>
      <c r="D8" s="5">
        <v>1</v>
      </c>
      <c r="E8" s="5" t="s">
        <v>30</v>
      </c>
      <c r="F8" s="5" t="s">
        <v>31</v>
      </c>
      <c r="G8" s="9">
        <v>86</v>
      </c>
      <c r="H8" s="9" t="s">
        <v>163</v>
      </c>
      <c r="I8" s="9" t="s">
        <v>163</v>
      </c>
      <c r="J8" s="9" t="s">
        <v>163</v>
      </c>
      <c r="K8" s="9" t="s">
        <v>162</v>
      </c>
      <c r="L8" s="6">
        <f t="shared" si="0"/>
        <v>3</v>
      </c>
      <c r="M8" s="6">
        <f t="shared" si="1"/>
        <v>1</v>
      </c>
      <c r="N8" s="7" t="str">
        <f t="shared" si="2"/>
        <v>Valid</v>
      </c>
    </row>
    <row r="9" spans="1:14" ht="20.100000000000001" customHeight="1" x14ac:dyDescent="0.25">
      <c r="A9" s="5">
        <v>3</v>
      </c>
      <c r="B9" s="5" t="s">
        <v>32</v>
      </c>
      <c r="C9" s="5" t="s">
        <v>33</v>
      </c>
      <c r="D9" s="5">
        <v>1</v>
      </c>
      <c r="E9" s="5" t="s">
        <v>34</v>
      </c>
      <c r="F9" s="5" t="s">
        <v>35</v>
      </c>
      <c r="G9" s="9">
        <v>92</v>
      </c>
      <c r="H9" s="9" t="s">
        <v>163</v>
      </c>
      <c r="I9" s="9" t="s">
        <v>162</v>
      </c>
      <c r="J9" s="9" t="s">
        <v>162</v>
      </c>
      <c r="K9" s="9" t="s">
        <v>163</v>
      </c>
      <c r="L9" s="6">
        <f t="shared" si="0"/>
        <v>2</v>
      </c>
      <c r="M9" s="6">
        <f t="shared" si="1"/>
        <v>2</v>
      </c>
      <c r="N9" s="7" t="str">
        <f t="shared" si="2"/>
        <v>Valid</v>
      </c>
    </row>
    <row r="10" spans="1:14" ht="20.100000000000001" customHeight="1" x14ac:dyDescent="0.25">
      <c r="A10" s="5">
        <v>4</v>
      </c>
      <c r="B10" s="5" t="s">
        <v>36</v>
      </c>
      <c r="C10" s="5" t="s">
        <v>37</v>
      </c>
      <c r="D10" s="5">
        <v>1</v>
      </c>
      <c r="E10" s="5" t="s">
        <v>38</v>
      </c>
      <c r="F10" s="5" t="s">
        <v>39</v>
      </c>
      <c r="G10" s="9">
        <v>89</v>
      </c>
      <c r="H10" s="9" t="s">
        <v>163</v>
      </c>
      <c r="I10" s="9" t="s">
        <v>162</v>
      </c>
      <c r="J10" s="9" t="s">
        <v>162</v>
      </c>
      <c r="K10" s="9" t="s">
        <v>163</v>
      </c>
      <c r="L10" s="6">
        <f t="shared" si="0"/>
        <v>2</v>
      </c>
      <c r="M10" s="6">
        <f t="shared" si="1"/>
        <v>2</v>
      </c>
      <c r="N10" s="7" t="str">
        <f t="shared" si="2"/>
        <v>Valid</v>
      </c>
    </row>
    <row r="11" spans="1:14" ht="20.100000000000001" customHeight="1" x14ac:dyDescent="0.25">
      <c r="A11" s="5">
        <v>5</v>
      </c>
      <c r="B11" s="5" t="s">
        <v>40</v>
      </c>
      <c r="C11" s="5" t="s">
        <v>41</v>
      </c>
      <c r="D11" s="5">
        <v>1</v>
      </c>
      <c r="E11" s="5" t="s">
        <v>42</v>
      </c>
      <c r="F11" s="5" t="s">
        <v>43</v>
      </c>
      <c r="G11" s="9">
        <v>86</v>
      </c>
      <c r="H11" s="9" t="s">
        <v>163</v>
      </c>
      <c r="I11" s="9" t="s">
        <v>163</v>
      </c>
      <c r="J11" s="9" t="s">
        <v>162</v>
      </c>
      <c r="K11" s="9" t="s">
        <v>163</v>
      </c>
      <c r="L11" s="6">
        <f t="shared" si="0"/>
        <v>3</v>
      </c>
      <c r="M11" s="6">
        <f t="shared" si="1"/>
        <v>1</v>
      </c>
      <c r="N11" s="7" t="str">
        <f t="shared" si="2"/>
        <v>Valid</v>
      </c>
    </row>
    <row r="12" spans="1:14" ht="20.100000000000001" customHeight="1" x14ac:dyDescent="0.25">
      <c r="A12" s="5">
        <v>6</v>
      </c>
      <c r="B12" s="5" t="s">
        <v>44</v>
      </c>
      <c r="C12" s="5" t="s">
        <v>45</v>
      </c>
      <c r="D12" s="5">
        <v>1</v>
      </c>
      <c r="E12" s="5" t="s">
        <v>46</v>
      </c>
      <c r="F12" s="5" t="s">
        <v>47</v>
      </c>
      <c r="G12" s="9">
        <v>86</v>
      </c>
      <c r="H12" s="9" t="s">
        <v>163</v>
      </c>
      <c r="I12" s="9" t="s">
        <v>163</v>
      </c>
      <c r="J12" s="9" t="s">
        <v>162</v>
      </c>
      <c r="K12" s="9" t="s">
        <v>163</v>
      </c>
      <c r="L12" s="6">
        <f t="shared" si="0"/>
        <v>3</v>
      </c>
      <c r="M12" s="6">
        <f t="shared" si="1"/>
        <v>1</v>
      </c>
      <c r="N12" s="7" t="str">
        <f t="shared" si="2"/>
        <v>Valid</v>
      </c>
    </row>
    <row r="13" spans="1:14" ht="20.100000000000001" customHeight="1" x14ac:dyDescent="0.25">
      <c r="A13" s="5">
        <v>7</v>
      </c>
      <c r="B13" s="5" t="s">
        <v>48</v>
      </c>
      <c r="C13" s="5" t="s">
        <v>49</v>
      </c>
      <c r="D13" s="5">
        <v>1</v>
      </c>
      <c r="E13" s="5" t="s">
        <v>50</v>
      </c>
      <c r="F13" s="5" t="s">
        <v>51</v>
      </c>
      <c r="G13" s="9">
        <v>87</v>
      </c>
      <c r="H13" s="9" t="s">
        <v>163</v>
      </c>
      <c r="I13" s="9" t="s">
        <v>162</v>
      </c>
      <c r="J13" s="9" t="s">
        <v>163</v>
      </c>
      <c r="K13" s="9" t="s">
        <v>163</v>
      </c>
      <c r="L13" s="6">
        <f t="shared" si="0"/>
        <v>3</v>
      </c>
      <c r="M13" s="6">
        <f t="shared" si="1"/>
        <v>1</v>
      </c>
      <c r="N13" s="7" t="str">
        <f t="shared" si="2"/>
        <v>Valid</v>
      </c>
    </row>
    <row r="14" spans="1:14" ht="20.100000000000001" customHeight="1" x14ac:dyDescent="0.25">
      <c r="A14" s="5">
        <v>8</v>
      </c>
      <c r="B14" s="5" t="s">
        <v>52</v>
      </c>
      <c r="C14" s="5" t="s">
        <v>53</v>
      </c>
      <c r="D14" s="5">
        <v>1</v>
      </c>
      <c r="E14" s="5" t="s">
        <v>54</v>
      </c>
      <c r="F14" s="5" t="s">
        <v>55</v>
      </c>
      <c r="G14" s="9">
        <v>89</v>
      </c>
      <c r="H14" s="9" t="s">
        <v>163</v>
      </c>
      <c r="I14" s="9" t="s">
        <v>162</v>
      </c>
      <c r="J14" s="9" t="s">
        <v>163</v>
      </c>
      <c r="K14" s="9" t="s">
        <v>163</v>
      </c>
      <c r="L14" s="6">
        <f t="shared" si="0"/>
        <v>3</v>
      </c>
      <c r="M14" s="6">
        <f t="shared" si="1"/>
        <v>1</v>
      </c>
      <c r="N14" s="7" t="str">
        <f t="shared" si="2"/>
        <v>Valid</v>
      </c>
    </row>
    <row r="15" spans="1:14" ht="20.100000000000001" customHeight="1" x14ac:dyDescent="0.25">
      <c r="A15" s="5">
        <v>9</v>
      </c>
      <c r="B15" s="5" t="s">
        <v>56</v>
      </c>
      <c r="C15" s="5" t="s">
        <v>57</v>
      </c>
      <c r="D15" s="5">
        <v>1</v>
      </c>
      <c r="E15" s="5" t="s">
        <v>58</v>
      </c>
      <c r="F15" s="5" t="s">
        <v>59</v>
      </c>
      <c r="G15" s="9">
        <v>88</v>
      </c>
      <c r="H15" s="9" t="s">
        <v>163</v>
      </c>
      <c r="I15" s="9" t="s">
        <v>162</v>
      </c>
      <c r="J15" s="9" t="s">
        <v>163</v>
      </c>
      <c r="K15" s="9" t="s">
        <v>163</v>
      </c>
      <c r="L15" s="6">
        <f t="shared" si="0"/>
        <v>3</v>
      </c>
      <c r="M15" s="6">
        <f t="shared" si="1"/>
        <v>1</v>
      </c>
      <c r="N15" s="7" t="str">
        <f t="shared" si="2"/>
        <v>Valid</v>
      </c>
    </row>
    <row r="16" spans="1:14" ht="20.100000000000001" customHeight="1" x14ac:dyDescent="0.25">
      <c r="A16" s="5">
        <v>10</v>
      </c>
      <c r="B16" s="5" t="s">
        <v>60</v>
      </c>
      <c r="C16" s="5" t="s">
        <v>61</v>
      </c>
      <c r="D16" s="5">
        <v>1</v>
      </c>
      <c r="E16" s="5" t="s">
        <v>62</v>
      </c>
      <c r="F16" s="5" t="s">
        <v>63</v>
      </c>
      <c r="G16" s="9">
        <v>87</v>
      </c>
      <c r="H16" s="9" t="s">
        <v>163</v>
      </c>
      <c r="I16" s="9" t="s">
        <v>163</v>
      </c>
      <c r="J16" s="9" t="s">
        <v>162</v>
      </c>
      <c r="K16" s="9" t="s">
        <v>163</v>
      </c>
      <c r="L16" s="6">
        <f t="shared" si="0"/>
        <v>3</v>
      </c>
      <c r="M16" s="6">
        <f t="shared" si="1"/>
        <v>1</v>
      </c>
      <c r="N16" s="7" t="str">
        <f t="shared" si="2"/>
        <v>Valid</v>
      </c>
    </row>
    <row r="17" spans="1:14" ht="20.100000000000001" customHeight="1" x14ac:dyDescent="0.25">
      <c r="A17" s="5">
        <v>11</v>
      </c>
      <c r="B17" s="5" t="s">
        <v>64</v>
      </c>
      <c r="C17" s="5" t="s">
        <v>65</v>
      </c>
      <c r="D17" s="5">
        <v>1</v>
      </c>
      <c r="E17" s="5" t="s">
        <v>66</v>
      </c>
      <c r="F17" s="5" t="s">
        <v>67</v>
      </c>
      <c r="G17" s="9">
        <v>88</v>
      </c>
      <c r="H17" s="9" t="s">
        <v>163</v>
      </c>
      <c r="I17" s="9" t="s">
        <v>163</v>
      </c>
      <c r="J17" s="9" t="s">
        <v>162</v>
      </c>
      <c r="K17" s="9" t="s">
        <v>163</v>
      </c>
      <c r="L17" s="6">
        <f t="shared" si="0"/>
        <v>3</v>
      </c>
      <c r="M17" s="6">
        <f t="shared" si="1"/>
        <v>1</v>
      </c>
      <c r="N17" s="7" t="str">
        <f t="shared" si="2"/>
        <v>Valid</v>
      </c>
    </row>
    <row r="18" spans="1:14" ht="20.100000000000001" customHeight="1" x14ac:dyDescent="0.25">
      <c r="A18" s="5">
        <v>12</v>
      </c>
      <c r="B18" s="5" t="s">
        <v>68</v>
      </c>
      <c r="C18" s="5" t="s">
        <v>69</v>
      </c>
      <c r="D18" s="5">
        <v>1</v>
      </c>
      <c r="E18" s="5" t="s">
        <v>70</v>
      </c>
      <c r="F18" s="5" t="s">
        <v>71</v>
      </c>
      <c r="G18" s="9">
        <v>88</v>
      </c>
      <c r="H18" s="9" t="s">
        <v>163</v>
      </c>
      <c r="I18" s="9" t="s">
        <v>163</v>
      </c>
      <c r="J18" s="9" t="s">
        <v>162</v>
      </c>
      <c r="K18" s="9" t="s">
        <v>163</v>
      </c>
      <c r="L18" s="6">
        <f t="shared" si="0"/>
        <v>3</v>
      </c>
      <c r="M18" s="6">
        <f t="shared" si="1"/>
        <v>1</v>
      </c>
      <c r="N18" s="7" t="str">
        <f t="shared" si="2"/>
        <v>Valid</v>
      </c>
    </row>
    <row r="19" spans="1:14" ht="20.100000000000001" customHeight="1" x14ac:dyDescent="0.25">
      <c r="A19" s="5">
        <v>13</v>
      </c>
      <c r="B19" s="5" t="s">
        <v>72</v>
      </c>
      <c r="C19" s="5" t="s">
        <v>73</v>
      </c>
      <c r="D19" s="5">
        <v>1</v>
      </c>
      <c r="E19" s="5" t="s">
        <v>74</v>
      </c>
      <c r="F19" s="5" t="s">
        <v>75</v>
      </c>
      <c r="G19" s="9">
        <v>88</v>
      </c>
      <c r="H19" s="9" t="s">
        <v>163</v>
      </c>
      <c r="I19" s="9" t="s">
        <v>163</v>
      </c>
      <c r="J19" s="9" t="s">
        <v>162</v>
      </c>
      <c r="K19" s="9" t="s">
        <v>163</v>
      </c>
      <c r="L19" s="6">
        <f t="shared" si="0"/>
        <v>3</v>
      </c>
      <c r="M19" s="6">
        <f t="shared" si="1"/>
        <v>1</v>
      </c>
      <c r="N19" s="7" t="str">
        <f t="shared" si="2"/>
        <v>Valid</v>
      </c>
    </row>
    <row r="20" spans="1:14" ht="20.100000000000001" customHeight="1" x14ac:dyDescent="0.25">
      <c r="A20" s="5">
        <v>14</v>
      </c>
      <c r="B20" s="5" t="s">
        <v>76</v>
      </c>
      <c r="C20" s="5" t="s">
        <v>77</v>
      </c>
      <c r="D20" s="5">
        <v>1</v>
      </c>
      <c r="E20" s="5" t="s">
        <v>78</v>
      </c>
      <c r="F20" s="5" t="s">
        <v>79</v>
      </c>
      <c r="G20" s="9">
        <v>79</v>
      </c>
      <c r="H20" s="9" t="s">
        <v>163</v>
      </c>
      <c r="I20" s="9" t="s">
        <v>163</v>
      </c>
      <c r="J20" s="9" t="s">
        <v>162</v>
      </c>
      <c r="K20" s="9" t="s">
        <v>163</v>
      </c>
      <c r="L20" s="6">
        <f t="shared" si="0"/>
        <v>3</v>
      </c>
      <c r="M20" s="6">
        <f t="shared" si="1"/>
        <v>1</v>
      </c>
      <c r="N20" s="7" t="str">
        <f t="shared" si="2"/>
        <v>Valid</v>
      </c>
    </row>
    <row r="21" spans="1:14" ht="20.100000000000001" customHeight="1" x14ac:dyDescent="0.25">
      <c r="A21" s="5">
        <v>15</v>
      </c>
      <c r="B21" s="5" t="s">
        <v>80</v>
      </c>
      <c r="C21" s="5" t="s">
        <v>81</v>
      </c>
      <c r="D21" s="5">
        <v>1</v>
      </c>
      <c r="E21" s="5" t="s">
        <v>82</v>
      </c>
      <c r="F21" s="5" t="s">
        <v>83</v>
      </c>
      <c r="G21" s="9">
        <v>91</v>
      </c>
      <c r="H21" s="9" t="s">
        <v>163</v>
      </c>
      <c r="I21" s="9" t="s">
        <v>162</v>
      </c>
      <c r="J21" s="9" t="s">
        <v>163</v>
      </c>
      <c r="K21" s="9" t="s">
        <v>162</v>
      </c>
      <c r="L21" s="6">
        <f t="shared" si="0"/>
        <v>2</v>
      </c>
      <c r="M21" s="6">
        <f t="shared" si="1"/>
        <v>2</v>
      </c>
      <c r="N21" s="7" t="str">
        <f t="shared" si="2"/>
        <v>Valid</v>
      </c>
    </row>
    <row r="22" spans="1:14" ht="20.100000000000001" customHeight="1" x14ac:dyDescent="0.25">
      <c r="A22" s="5">
        <v>16</v>
      </c>
      <c r="B22" s="5" t="s">
        <v>84</v>
      </c>
      <c r="C22" s="5" t="s">
        <v>85</v>
      </c>
      <c r="D22" s="5">
        <v>1</v>
      </c>
      <c r="E22" s="5" t="s">
        <v>86</v>
      </c>
      <c r="F22" s="5" t="s">
        <v>87</v>
      </c>
      <c r="G22" s="9">
        <v>84</v>
      </c>
      <c r="H22" s="9" t="s">
        <v>163</v>
      </c>
      <c r="I22" s="9" t="s">
        <v>163</v>
      </c>
      <c r="J22" s="9" t="s">
        <v>163</v>
      </c>
      <c r="K22" s="9" t="s">
        <v>162</v>
      </c>
      <c r="L22" s="6">
        <f t="shared" si="0"/>
        <v>3</v>
      </c>
      <c r="M22" s="6">
        <f t="shared" si="1"/>
        <v>1</v>
      </c>
      <c r="N22" s="7" t="str">
        <f t="shared" si="2"/>
        <v>Valid</v>
      </c>
    </row>
    <row r="23" spans="1:14" ht="20.100000000000001" customHeight="1" x14ac:dyDescent="0.25">
      <c r="A23" s="5">
        <v>17</v>
      </c>
      <c r="B23" s="5" t="s">
        <v>88</v>
      </c>
      <c r="C23" s="5" t="s">
        <v>89</v>
      </c>
      <c r="D23" s="5">
        <v>1</v>
      </c>
      <c r="E23" s="5" t="s">
        <v>90</v>
      </c>
      <c r="F23" s="5" t="s">
        <v>91</v>
      </c>
      <c r="G23" s="9">
        <v>90</v>
      </c>
      <c r="H23" s="9" t="s">
        <v>163</v>
      </c>
      <c r="I23" s="9" t="s">
        <v>163</v>
      </c>
      <c r="J23" s="9" t="s">
        <v>162</v>
      </c>
      <c r="K23" s="9" t="s">
        <v>162</v>
      </c>
      <c r="L23" s="6">
        <f t="shared" si="0"/>
        <v>2</v>
      </c>
      <c r="M23" s="6">
        <f t="shared" si="1"/>
        <v>2</v>
      </c>
      <c r="N23" s="7" t="str">
        <f t="shared" si="2"/>
        <v>Valid</v>
      </c>
    </row>
    <row r="24" spans="1:14" ht="20.100000000000001" customHeight="1" x14ac:dyDescent="0.25">
      <c r="A24" s="5">
        <v>18</v>
      </c>
      <c r="B24" s="5" t="s">
        <v>92</v>
      </c>
      <c r="C24" s="5" t="s">
        <v>93</v>
      </c>
      <c r="D24" s="5">
        <v>1</v>
      </c>
      <c r="E24" s="5" t="s">
        <v>94</v>
      </c>
      <c r="F24" s="5" t="s">
        <v>95</v>
      </c>
      <c r="G24" s="9">
        <v>87</v>
      </c>
      <c r="H24" s="9" t="s">
        <v>163</v>
      </c>
      <c r="I24" s="9" t="s">
        <v>163</v>
      </c>
      <c r="J24" s="9" t="s">
        <v>163</v>
      </c>
      <c r="K24" s="9" t="s">
        <v>162</v>
      </c>
      <c r="L24" s="6">
        <f t="shared" si="0"/>
        <v>3</v>
      </c>
      <c r="M24" s="6">
        <f t="shared" si="1"/>
        <v>1</v>
      </c>
      <c r="N24" s="7" t="str">
        <f t="shared" si="2"/>
        <v>Valid</v>
      </c>
    </row>
    <row r="25" spans="1:14" ht="20.100000000000001" customHeight="1" x14ac:dyDescent="0.25">
      <c r="A25" s="5">
        <v>19</v>
      </c>
      <c r="B25" s="5" t="s">
        <v>96</v>
      </c>
      <c r="C25" s="5" t="s">
        <v>97</v>
      </c>
      <c r="D25" s="5">
        <v>1</v>
      </c>
      <c r="E25" s="5" t="s">
        <v>98</v>
      </c>
      <c r="F25" s="5" t="s">
        <v>99</v>
      </c>
      <c r="G25" s="9">
        <v>87</v>
      </c>
      <c r="H25" s="9" t="s">
        <v>163</v>
      </c>
      <c r="I25" s="9" t="s">
        <v>163</v>
      </c>
      <c r="J25" s="9" t="s">
        <v>163</v>
      </c>
      <c r="K25" s="9" t="s">
        <v>162</v>
      </c>
      <c r="L25" s="6">
        <f t="shared" si="0"/>
        <v>3</v>
      </c>
      <c r="M25" s="6">
        <f t="shared" si="1"/>
        <v>1</v>
      </c>
      <c r="N25" s="7" t="str">
        <f t="shared" si="2"/>
        <v>Valid</v>
      </c>
    </row>
    <row r="26" spans="1:14" ht="20.100000000000001" customHeight="1" x14ac:dyDescent="0.25">
      <c r="A26" s="5">
        <v>20</v>
      </c>
      <c r="B26" s="5" t="s">
        <v>100</v>
      </c>
      <c r="C26" s="5" t="s">
        <v>101</v>
      </c>
      <c r="D26" s="5">
        <v>1</v>
      </c>
      <c r="E26" s="5" t="s">
        <v>102</v>
      </c>
      <c r="F26" s="5" t="s">
        <v>103</v>
      </c>
      <c r="G26" s="9">
        <v>87</v>
      </c>
      <c r="H26" s="9" t="s">
        <v>163</v>
      </c>
      <c r="I26" s="9" t="s">
        <v>163</v>
      </c>
      <c r="J26" s="9" t="s">
        <v>162</v>
      </c>
      <c r="K26" s="9" t="s">
        <v>163</v>
      </c>
      <c r="L26" s="6">
        <f t="shared" si="0"/>
        <v>3</v>
      </c>
      <c r="M26" s="6">
        <f t="shared" si="1"/>
        <v>1</v>
      </c>
      <c r="N26" s="7" t="str">
        <f t="shared" si="2"/>
        <v>Valid</v>
      </c>
    </row>
    <row r="27" spans="1:14" ht="20.100000000000001" customHeight="1" x14ac:dyDescent="0.25">
      <c r="A27" s="5">
        <v>21</v>
      </c>
      <c r="B27" s="5" t="s">
        <v>104</v>
      </c>
      <c r="C27" s="5" t="s">
        <v>105</v>
      </c>
      <c r="D27" s="5">
        <v>1</v>
      </c>
      <c r="E27" s="5" t="s">
        <v>106</v>
      </c>
      <c r="F27" s="5" t="s">
        <v>107</v>
      </c>
      <c r="G27" s="9">
        <v>86</v>
      </c>
      <c r="H27" s="9" t="s">
        <v>163</v>
      </c>
      <c r="I27" s="9" t="s">
        <v>163</v>
      </c>
      <c r="J27" s="9" t="s">
        <v>162</v>
      </c>
      <c r="K27" s="9" t="s">
        <v>163</v>
      </c>
      <c r="L27" s="6">
        <f t="shared" si="0"/>
        <v>3</v>
      </c>
      <c r="M27" s="6">
        <f t="shared" si="1"/>
        <v>1</v>
      </c>
      <c r="N27" s="7" t="str">
        <f t="shared" si="2"/>
        <v>Valid</v>
      </c>
    </row>
    <row r="28" spans="1:14" ht="20.100000000000001" customHeight="1" x14ac:dyDescent="0.25">
      <c r="A28" s="5">
        <v>22</v>
      </c>
      <c r="B28" s="5" t="s">
        <v>108</v>
      </c>
      <c r="C28" s="5" t="s">
        <v>109</v>
      </c>
      <c r="D28" s="5">
        <v>1</v>
      </c>
      <c r="E28" s="5" t="s">
        <v>110</v>
      </c>
      <c r="F28" s="5" t="s">
        <v>111</v>
      </c>
      <c r="G28" s="9">
        <v>86</v>
      </c>
      <c r="H28" s="9" t="s">
        <v>163</v>
      </c>
      <c r="I28" s="9" t="s">
        <v>163</v>
      </c>
      <c r="J28" s="9" t="s">
        <v>163</v>
      </c>
      <c r="K28" s="9" t="s">
        <v>162</v>
      </c>
      <c r="L28" s="6">
        <f t="shared" si="0"/>
        <v>3</v>
      </c>
      <c r="M28" s="6">
        <f t="shared" si="1"/>
        <v>1</v>
      </c>
      <c r="N28" s="7" t="str">
        <f t="shared" si="2"/>
        <v>Valid</v>
      </c>
    </row>
    <row r="29" spans="1:14" ht="20.100000000000001" customHeight="1" x14ac:dyDescent="0.25">
      <c r="A29" s="5">
        <v>23</v>
      </c>
      <c r="B29" s="5" t="s">
        <v>112</v>
      </c>
      <c r="C29" s="5" t="s">
        <v>113</v>
      </c>
      <c r="D29" s="5">
        <v>1</v>
      </c>
      <c r="E29" s="5" t="s">
        <v>114</v>
      </c>
      <c r="F29" s="5" t="s">
        <v>115</v>
      </c>
      <c r="G29" s="9">
        <v>85</v>
      </c>
      <c r="H29" s="9" t="s">
        <v>163</v>
      </c>
      <c r="I29" s="9" t="s">
        <v>163</v>
      </c>
      <c r="J29" s="9" t="s">
        <v>163</v>
      </c>
      <c r="K29" s="9" t="s">
        <v>162</v>
      </c>
      <c r="L29" s="6">
        <f t="shared" si="0"/>
        <v>3</v>
      </c>
      <c r="M29" s="6">
        <f t="shared" si="1"/>
        <v>1</v>
      </c>
      <c r="N29" s="7" t="str">
        <f t="shared" si="2"/>
        <v>Valid</v>
      </c>
    </row>
    <row r="30" spans="1:14" ht="20.100000000000001" customHeight="1" x14ac:dyDescent="0.25">
      <c r="A30" s="5">
        <v>24</v>
      </c>
      <c r="B30" s="5" t="s">
        <v>116</v>
      </c>
      <c r="C30" s="5" t="s">
        <v>117</v>
      </c>
      <c r="D30" s="5">
        <v>1</v>
      </c>
      <c r="E30" s="5" t="s">
        <v>118</v>
      </c>
      <c r="F30" s="5" t="s">
        <v>119</v>
      </c>
      <c r="G30" s="9">
        <v>83</v>
      </c>
      <c r="H30" s="9" t="s">
        <v>163</v>
      </c>
      <c r="I30" s="9" t="s">
        <v>163</v>
      </c>
      <c r="J30" s="9" t="s">
        <v>162</v>
      </c>
      <c r="K30" s="9" t="s">
        <v>163</v>
      </c>
      <c r="L30" s="6">
        <f t="shared" si="0"/>
        <v>3</v>
      </c>
      <c r="M30" s="6">
        <f t="shared" si="1"/>
        <v>1</v>
      </c>
      <c r="N30" s="7" t="str">
        <f t="shared" si="2"/>
        <v>Valid</v>
      </c>
    </row>
    <row r="31" spans="1:14" ht="20.100000000000001" customHeight="1" x14ac:dyDescent="0.25">
      <c r="A31" s="5">
        <v>25</v>
      </c>
      <c r="B31" s="5" t="s">
        <v>120</v>
      </c>
      <c r="C31" s="5" t="s">
        <v>121</v>
      </c>
      <c r="D31" s="5">
        <v>1</v>
      </c>
      <c r="E31" s="5" t="s">
        <v>122</v>
      </c>
      <c r="F31" s="5" t="s">
        <v>123</v>
      </c>
      <c r="G31" s="9">
        <v>86</v>
      </c>
      <c r="H31" s="9" t="s">
        <v>163</v>
      </c>
      <c r="I31" s="9" t="s">
        <v>163</v>
      </c>
      <c r="J31" s="9" t="s">
        <v>163</v>
      </c>
      <c r="K31" s="9" t="s">
        <v>162</v>
      </c>
      <c r="L31" s="6">
        <f t="shared" si="0"/>
        <v>3</v>
      </c>
      <c r="M31" s="6">
        <f t="shared" si="1"/>
        <v>1</v>
      </c>
      <c r="N31" s="7" t="str">
        <f t="shared" si="2"/>
        <v>Valid</v>
      </c>
    </row>
    <row r="32" spans="1:14" ht="20.100000000000001" customHeight="1" x14ac:dyDescent="0.25">
      <c r="A32" s="5">
        <v>26</v>
      </c>
      <c r="B32" s="5" t="s">
        <v>124</v>
      </c>
      <c r="C32" s="5" t="s">
        <v>125</v>
      </c>
      <c r="D32" s="5">
        <v>1</v>
      </c>
      <c r="E32" s="5" t="s">
        <v>126</v>
      </c>
      <c r="F32" s="5" t="s">
        <v>127</v>
      </c>
      <c r="G32" s="9">
        <v>85</v>
      </c>
      <c r="H32" s="9" t="s">
        <v>163</v>
      </c>
      <c r="I32" s="9" t="s">
        <v>163</v>
      </c>
      <c r="J32" s="9" t="s">
        <v>162</v>
      </c>
      <c r="K32" s="9" t="s">
        <v>163</v>
      </c>
      <c r="L32" s="6">
        <f t="shared" si="0"/>
        <v>3</v>
      </c>
      <c r="M32" s="6">
        <f t="shared" si="1"/>
        <v>1</v>
      </c>
      <c r="N32" s="7" t="str">
        <f t="shared" si="2"/>
        <v>Valid</v>
      </c>
    </row>
    <row r="33" spans="1:14" ht="20.100000000000001" customHeight="1" x14ac:dyDescent="0.25">
      <c r="A33" s="5">
        <v>27</v>
      </c>
      <c r="B33" s="5" t="s">
        <v>128</v>
      </c>
      <c r="C33" s="5" t="s">
        <v>129</v>
      </c>
      <c r="D33" s="5">
        <v>1</v>
      </c>
      <c r="E33" s="5" t="s">
        <v>130</v>
      </c>
      <c r="F33" s="5" t="s">
        <v>131</v>
      </c>
      <c r="G33" s="9">
        <v>87</v>
      </c>
      <c r="H33" s="9" t="s">
        <v>163</v>
      </c>
      <c r="I33" s="9" t="s">
        <v>163</v>
      </c>
      <c r="J33" s="9" t="s">
        <v>162</v>
      </c>
      <c r="K33" s="9" t="s">
        <v>163</v>
      </c>
      <c r="L33" s="6">
        <f t="shared" si="0"/>
        <v>3</v>
      </c>
      <c r="M33" s="6">
        <f t="shared" si="1"/>
        <v>1</v>
      </c>
      <c r="N33" s="7" t="str">
        <f t="shared" si="2"/>
        <v>Valid</v>
      </c>
    </row>
    <row r="34" spans="1:14" ht="20.100000000000001" customHeight="1" x14ac:dyDescent="0.25">
      <c r="A34" s="5">
        <v>28</v>
      </c>
      <c r="B34" s="5" t="s">
        <v>132</v>
      </c>
      <c r="C34" s="5" t="s">
        <v>133</v>
      </c>
      <c r="D34" s="5">
        <v>1</v>
      </c>
      <c r="E34" s="5" t="s">
        <v>134</v>
      </c>
      <c r="F34" s="5" t="s">
        <v>135</v>
      </c>
      <c r="G34" s="9">
        <v>88</v>
      </c>
      <c r="H34" s="9" t="s">
        <v>163</v>
      </c>
      <c r="I34" s="9" t="s">
        <v>163</v>
      </c>
      <c r="J34" s="9" t="s">
        <v>162</v>
      </c>
      <c r="K34" s="9" t="s">
        <v>163</v>
      </c>
      <c r="L34" s="6">
        <f t="shared" si="0"/>
        <v>3</v>
      </c>
      <c r="M34" s="6">
        <f t="shared" si="1"/>
        <v>1</v>
      </c>
      <c r="N34" s="7" t="str">
        <f t="shared" si="2"/>
        <v>Valid</v>
      </c>
    </row>
    <row r="35" spans="1:14" ht="20.100000000000001" customHeight="1" x14ac:dyDescent="0.25">
      <c r="A35" s="5">
        <v>29</v>
      </c>
      <c r="B35" s="5" t="s">
        <v>136</v>
      </c>
      <c r="C35" s="5" t="s">
        <v>137</v>
      </c>
      <c r="D35" s="5">
        <v>1</v>
      </c>
      <c r="E35" s="5" t="s">
        <v>138</v>
      </c>
      <c r="F35" s="5" t="s">
        <v>139</v>
      </c>
      <c r="G35" s="9">
        <v>89</v>
      </c>
      <c r="H35" s="9" t="s">
        <v>163</v>
      </c>
      <c r="I35" s="9" t="s">
        <v>163</v>
      </c>
      <c r="J35" s="9" t="s">
        <v>162</v>
      </c>
      <c r="K35" s="9" t="s">
        <v>163</v>
      </c>
      <c r="L35" s="6">
        <f t="shared" si="0"/>
        <v>3</v>
      </c>
      <c r="M35" s="6">
        <f t="shared" si="1"/>
        <v>1</v>
      </c>
      <c r="N35" s="7" t="str">
        <f t="shared" si="2"/>
        <v>Valid</v>
      </c>
    </row>
    <row r="36" spans="1:14" ht="20.100000000000001" customHeight="1" x14ac:dyDescent="0.25">
      <c r="A36" s="5">
        <v>30</v>
      </c>
      <c r="B36" s="5" t="s">
        <v>140</v>
      </c>
      <c r="C36" s="5" t="s">
        <v>141</v>
      </c>
      <c r="D36" s="5">
        <v>1</v>
      </c>
      <c r="E36" s="5" t="s">
        <v>142</v>
      </c>
      <c r="F36" s="5" t="s">
        <v>143</v>
      </c>
      <c r="G36" s="9">
        <v>86</v>
      </c>
      <c r="H36" s="9" t="s">
        <v>163</v>
      </c>
      <c r="I36" s="9" t="s">
        <v>163</v>
      </c>
      <c r="J36" s="9" t="s">
        <v>162</v>
      </c>
      <c r="K36" s="9" t="s">
        <v>163</v>
      </c>
      <c r="L36" s="6">
        <f t="shared" si="0"/>
        <v>3</v>
      </c>
      <c r="M36" s="6">
        <f t="shared" si="1"/>
        <v>1</v>
      </c>
      <c r="N36" s="7" t="str">
        <f t="shared" si="2"/>
        <v>Valid</v>
      </c>
    </row>
    <row r="37" spans="1:14" ht="20.100000000000001" customHeight="1" x14ac:dyDescent="0.25">
      <c r="A37" s="5">
        <v>31</v>
      </c>
      <c r="B37" s="5" t="s">
        <v>144</v>
      </c>
      <c r="C37" s="5" t="s">
        <v>145</v>
      </c>
      <c r="D37" s="5">
        <v>1</v>
      </c>
      <c r="E37" s="5" t="s">
        <v>146</v>
      </c>
      <c r="F37" s="5" t="s">
        <v>147</v>
      </c>
      <c r="G37" s="9">
        <v>87</v>
      </c>
      <c r="H37" s="9" t="s">
        <v>163</v>
      </c>
      <c r="I37" s="9" t="s">
        <v>163</v>
      </c>
      <c r="J37" s="9" t="s">
        <v>162</v>
      </c>
      <c r="K37" s="9" t="s">
        <v>163</v>
      </c>
      <c r="L37" s="6">
        <f t="shared" si="0"/>
        <v>3</v>
      </c>
      <c r="M37" s="6">
        <f t="shared" si="1"/>
        <v>1</v>
      </c>
      <c r="N37" s="7" t="str">
        <f t="shared" si="2"/>
        <v>Valid</v>
      </c>
    </row>
    <row r="38" spans="1:14" ht="20.100000000000001" customHeight="1" x14ac:dyDescent="0.25">
      <c r="A38" s="5">
        <v>32</v>
      </c>
      <c r="B38" s="5" t="s">
        <v>148</v>
      </c>
      <c r="C38" s="5" t="s">
        <v>149</v>
      </c>
      <c r="D38" s="5">
        <v>1</v>
      </c>
      <c r="E38" s="5" t="s">
        <v>150</v>
      </c>
      <c r="F38" s="5" t="s">
        <v>151</v>
      </c>
      <c r="G38" s="9">
        <v>88</v>
      </c>
      <c r="H38" s="9" t="s">
        <v>163</v>
      </c>
      <c r="I38" s="9" t="s">
        <v>163</v>
      </c>
      <c r="J38" s="9" t="s">
        <v>162</v>
      </c>
      <c r="K38" s="9" t="s">
        <v>163</v>
      </c>
      <c r="L38" s="6">
        <f t="shared" si="0"/>
        <v>3</v>
      </c>
      <c r="M38" s="6">
        <f t="shared" si="1"/>
        <v>1</v>
      </c>
      <c r="N38" s="7" t="str">
        <f t="shared" si="2"/>
        <v>Valid</v>
      </c>
    </row>
    <row r="40" spans="1:14" ht="15.75" x14ac:dyDescent="0.25">
      <c r="A40" s="1" t="s">
        <v>152</v>
      </c>
    </row>
    <row r="41" spans="1:14" x14ac:dyDescent="0.25">
      <c r="A41" t="s">
        <v>153</v>
      </c>
    </row>
    <row r="42" spans="1:14" x14ac:dyDescent="0.25">
      <c r="A42" t="s">
        <v>154</v>
      </c>
    </row>
    <row r="43" spans="1:14" x14ac:dyDescent="0.25">
      <c r="A43" t="s">
        <v>155</v>
      </c>
    </row>
    <row r="44" spans="1:14" x14ac:dyDescent="0.25">
      <c r="A44" t="s">
        <v>156</v>
      </c>
    </row>
    <row r="45" spans="1:14" x14ac:dyDescent="0.25">
      <c r="A45" s="2" t="s">
        <v>157</v>
      </c>
    </row>
    <row r="46" spans="1:14" x14ac:dyDescent="0.25">
      <c r="A46" t="s">
        <v>158</v>
      </c>
    </row>
    <row r="47" spans="1:14" x14ac:dyDescent="0.25">
      <c r="A47" t="s">
        <v>159</v>
      </c>
    </row>
    <row r="48" spans="1:14" x14ac:dyDescent="0.25">
      <c r="A48" t="s">
        <v>160</v>
      </c>
    </row>
    <row r="49" spans="1:1" x14ac:dyDescent="0.25">
      <c r="A49" t="s">
        <v>161</v>
      </c>
    </row>
  </sheetData>
  <sheetProtection password="E249" sheet="1"/>
  <mergeCells count="9">
    <mergeCell ref="F3:F6"/>
    <mergeCell ref="G3:G6"/>
    <mergeCell ref="H3:K3"/>
    <mergeCell ref="L3:N3"/>
    <mergeCell ref="A3:A6"/>
    <mergeCell ref="B3:B6"/>
    <mergeCell ref="C3:C6"/>
    <mergeCell ref="D3:D6"/>
    <mergeCell ref="E3:E6"/>
  </mergeCells>
  <dataValidations count="2">
    <dataValidation type="whole" showDropDown="1" showInputMessage="1" showErrorMessage="1" errorTitle="Input Salah" error="Hanya boleh memasukkan angka antara 1 dan 100." promptTitle="Input Angka" prompt="Masukkan angka antara 1 dan 100." sqref="G7:G38" xr:uid="{00000000-0002-0000-0000-000000000000}">
      <formula1>1</formula1>
      <formula2>100</formula2>
    </dataValidation>
    <dataValidation type="list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7:K38" xr:uid="{00000000-0002-0000-0000-000001000000}">
      <formula1>"T,R"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acer mbcell</cp:lastModifiedBy>
  <dcterms:created xsi:type="dcterms:W3CDTF">2025-12-08T00:14:58Z</dcterms:created>
  <dcterms:modified xsi:type="dcterms:W3CDTF">2025-12-11T05:03:35Z</dcterms:modified>
  <cp:category/>
</cp:coreProperties>
</file>