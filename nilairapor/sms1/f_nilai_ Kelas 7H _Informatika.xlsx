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DOC BAYU\DATA SEMSETER 1 TA 2025 2026\RAPOR KELAS 7\SEMESTER 1\IMPOR NILAI\"/>
    </mc:Choice>
  </mc:AlternateContent>
  <xr:revisionPtr revIDLastSave="0" documentId="13_ncr:1_{AED97E35-FA21-45A4-AA47-3B4874FA72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8" i="1" l="1"/>
  <c r="L38" i="1"/>
  <c r="N38" i="1" s="1"/>
  <c r="M37" i="1"/>
  <c r="L37" i="1"/>
  <c r="M36" i="1"/>
  <c r="L36" i="1"/>
  <c r="N36" i="1" s="1"/>
  <c r="M35" i="1"/>
  <c r="L35" i="1"/>
  <c r="M34" i="1"/>
  <c r="L34" i="1"/>
  <c r="N34" i="1" s="1"/>
  <c r="M33" i="1"/>
  <c r="N33" i="1" s="1"/>
  <c r="L33" i="1"/>
  <c r="M32" i="1"/>
  <c r="L32" i="1"/>
  <c r="N32" i="1" s="1"/>
  <c r="M31" i="1"/>
  <c r="L31" i="1"/>
  <c r="N31" i="1" s="1"/>
  <c r="M30" i="1"/>
  <c r="L30" i="1"/>
  <c r="N30" i="1" s="1"/>
  <c r="M29" i="1"/>
  <c r="L29" i="1"/>
  <c r="N29" i="1" s="1"/>
  <c r="M28" i="1"/>
  <c r="L28" i="1"/>
  <c r="M27" i="1"/>
  <c r="L27" i="1"/>
  <c r="M26" i="1"/>
  <c r="L26" i="1"/>
  <c r="M25" i="1"/>
  <c r="L25" i="1"/>
  <c r="N25" i="1" s="1"/>
  <c r="M24" i="1"/>
  <c r="L24" i="1"/>
  <c r="N24" i="1" s="1"/>
  <c r="M23" i="1"/>
  <c r="L23" i="1"/>
  <c r="M22" i="1"/>
  <c r="L22" i="1"/>
  <c r="N22" i="1" s="1"/>
  <c r="M21" i="1"/>
  <c r="N21" i="1" s="1"/>
  <c r="L21" i="1"/>
  <c r="M20" i="1"/>
  <c r="L20" i="1"/>
  <c r="N20" i="1" s="1"/>
  <c r="M19" i="1"/>
  <c r="L19" i="1"/>
  <c r="M18" i="1"/>
  <c r="L18" i="1"/>
  <c r="N17" i="1"/>
  <c r="M17" i="1"/>
  <c r="L17" i="1"/>
  <c r="M16" i="1"/>
  <c r="L16" i="1"/>
  <c r="M15" i="1"/>
  <c r="L15" i="1"/>
  <c r="N15" i="1" s="1"/>
  <c r="M14" i="1"/>
  <c r="L14" i="1"/>
  <c r="M13" i="1"/>
  <c r="L13" i="1"/>
  <c r="N13" i="1" s="1"/>
  <c r="M12" i="1"/>
  <c r="L12" i="1"/>
  <c r="M11" i="1"/>
  <c r="L11" i="1"/>
  <c r="M10" i="1"/>
  <c r="L10" i="1"/>
  <c r="M9" i="1"/>
  <c r="L9" i="1"/>
  <c r="N9" i="1" s="1"/>
  <c r="M8" i="1"/>
  <c r="L8" i="1"/>
  <c r="M7" i="1"/>
  <c r="L7" i="1"/>
  <c r="N7" i="1" s="1"/>
  <c r="N8" i="1" l="1"/>
  <c r="N37" i="1"/>
  <c r="N27" i="1"/>
  <c r="N23" i="1"/>
  <c r="N18" i="1"/>
  <c r="N16" i="1"/>
  <c r="N14" i="1"/>
  <c r="N11" i="1"/>
  <c r="N10" i="1"/>
  <c r="N12" i="1"/>
  <c r="N19" i="1"/>
  <c r="N26" i="1"/>
  <c r="N28" i="1"/>
  <c r="N35" i="1"/>
</calcChain>
</file>

<file path=xl/sharedStrings.xml><?xml version="1.0" encoding="utf-8"?>
<sst xmlns="http://schemas.openxmlformats.org/spreadsheetml/2006/main" count="292" uniqueCount="164">
  <si>
    <t xml:space="preserve">FORMAT IMPORT NILAI RAPOR INFORMATIKA, KELAS  KELAS 7H </t>
  </si>
  <si>
    <t>8d53062e-94c2-4937-9834-843d9e00519a</t>
  </si>
  <si>
    <t>NO</t>
  </si>
  <si>
    <t>NILRPT</t>
  </si>
  <si>
    <t>NISN</t>
  </si>
  <si>
    <t>NAMA SISWA</t>
  </si>
  <si>
    <t>NILAI RAPOR</t>
  </si>
  <si>
    <t>TINGKAT KETERCAPAIAN TP</t>
  </si>
  <si>
    <t>cba8d1bb-3655-4956-b1fa-29a6b9af18ea</t>
  </si>
  <si>
    <t xml:space="preserve">memanfaatkan TIK antar muka pengguna, surel, peramban pencarian informasi, dan aplikasi perkantoran </t>
  </si>
  <si>
    <t>TP.711</t>
  </si>
  <si>
    <t>c8dbf5c6-b4cd-4993-a502-095f289c3df5</t>
  </si>
  <si>
    <t xml:space="preserve">menjelaskan komponen, fungsi, cara kerja komputer (sistem komputasi), dan memahami kodifikasi data </t>
  </si>
  <si>
    <t>TP.713</t>
  </si>
  <si>
    <t>40895aa8-9ac4-4107-ba56-0e0223db1aba</t>
  </si>
  <si>
    <t>Memahami dampak positif dan negatif teknologi informasi, keamanan data pribadi dan berkolaborasi.</t>
  </si>
  <si>
    <t>TP.714</t>
  </si>
  <si>
    <t>eed91b03-902c-4e3f-bcb8-8d2bd4451e2f</t>
  </si>
  <si>
    <t>mengenal konektivitas internet, jaringan lokal, dan komunikasi data, serta memahami enkripsi data</t>
  </si>
  <si>
    <t>TP.715</t>
  </si>
  <si>
    <t>VALIDASI</t>
  </si>
  <si>
    <t>TR</t>
  </si>
  <si>
    <t>OP</t>
  </si>
  <si>
    <t>NILAI</t>
  </si>
  <si>
    <t>dcb29255-b55e-4446-b550-638adede8391</t>
  </si>
  <si>
    <t>4a7caa53-098b-4840-bf24-729011bf7200</t>
  </si>
  <si>
    <t>3127835285</t>
  </si>
  <si>
    <t>AHMAD AL IRSYAD</t>
  </si>
  <si>
    <t>3804091f-420f-4b32-9230-e25a9ed5c0af</t>
  </si>
  <si>
    <t>3bb2cd66-d7fd-40bc-89f2-bf4b7cc5ba80</t>
  </si>
  <si>
    <t>0125706212</t>
  </si>
  <si>
    <t>ATINA AZZAH HAYATI</t>
  </si>
  <si>
    <t>a9758634-3181-4db7-9cdb-4be79686e687</t>
  </si>
  <si>
    <t>8d6c355d-1bcb-4431-8a83-dfcd952ce8f7</t>
  </si>
  <si>
    <t>0134806462</t>
  </si>
  <si>
    <t>AULIA IZZATUNNISA</t>
  </si>
  <si>
    <t>03598a44-1767-4202-920c-bd3a53a96f66</t>
  </si>
  <si>
    <t>6ddc3420-448f-4c9e-83b6-fcf761c21d26</t>
  </si>
  <si>
    <t>3128107507</t>
  </si>
  <si>
    <t>CAMELIA AZAHRA KHUMAIRA</t>
  </si>
  <si>
    <t>5b4e371a-a27f-4683-97e6-e3d11c64fe1c</t>
  </si>
  <si>
    <t>45b729fb-1c85-41df-9719-99c44b5063d2</t>
  </si>
  <si>
    <t>0122942217</t>
  </si>
  <si>
    <t>FATHAN GUSTOMY</t>
  </si>
  <si>
    <t>57a09694-9258-4619-99d7-65895df7378c</t>
  </si>
  <si>
    <t>80ba15ca-e0a4-4496-a791-0595b5e02844</t>
  </si>
  <si>
    <t>0133910125</t>
  </si>
  <si>
    <t>IBTISAM ARIFA</t>
  </si>
  <si>
    <t>b82f5233-c1fb-4ddc-8707-9ecfc18e58a3</t>
  </si>
  <si>
    <t>da2b00a7-6bb0-4a82-86d2-74325f739fb5</t>
  </si>
  <si>
    <t>0138379546</t>
  </si>
  <si>
    <t>INAYATI AENA</t>
  </si>
  <si>
    <t>e8f815e9-d0c2-45b8-b461-63b567e0e8f0</t>
  </si>
  <si>
    <t>2646de9c-a620-438a-a679-01b542bc095a</t>
  </si>
  <si>
    <t>0116285864</t>
  </si>
  <si>
    <t>IQBAL WICAKSONO</t>
  </si>
  <si>
    <t>a02f028e-e99b-454d-a14b-bbcdb44160dd</t>
  </si>
  <si>
    <t>0f2ad14e-addd-4f35-ae1b-57a4a1a307a5</t>
  </si>
  <si>
    <t>0122823698</t>
  </si>
  <si>
    <t>IRMA NOVIANA</t>
  </si>
  <si>
    <t>69d3b6ae-372f-42d4-8356-bd6f8fb4fa91</t>
  </si>
  <si>
    <t>fff6a043-c61f-4e5a-9f60-8ae70434bb7a</t>
  </si>
  <si>
    <t>3137605563</t>
  </si>
  <si>
    <t>MELIYA EKA NUR AFRIANI</t>
  </si>
  <si>
    <t>a1b17728-d7c2-4adf-a16a-73e6517834ac</t>
  </si>
  <si>
    <t>52d6c674-ca95-4962-9233-d396a8ea4cde</t>
  </si>
  <si>
    <t>3138786854</t>
  </si>
  <si>
    <t>MUHAMAD AFKARUL ISLAM</t>
  </si>
  <si>
    <t>e20a2feb-e5cd-4e39-9510-fc07d43c6fbf</t>
  </si>
  <si>
    <t>82ea0f00-fe5a-40f1-a992-4681a5d9105a</t>
  </si>
  <si>
    <t>0128406125</t>
  </si>
  <si>
    <t>MUHAMAD FAIQ IMAMMILLAH</t>
  </si>
  <si>
    <t>70411d2b-1d54-4d53-be25-af6aeac19466</t>
  </si>
  <si>
    <t>6962d0b0-3175-4af4-ad52-385fd1428fb7</t>
  </si>
  <si>
    <t>0112958192</t>
  </si>
  <si>
    <t>MUHAMAD HABIBI</t>
  </si>
  <si>
    <t>ccbb3ebe-8a5b-47db-8c79-7502f3240f64</t>
  </si>
  <si>
    <t>16fc57b0-2578-4167-9c3a-e1a1197b4bfe</t>
  </si>
  <si>
    <t>0135310769</t>
  </si>
  <si>
    <t>MUHAMAD REHAN FARDAN</t>
  </si>
  <si>
    <t>262e1508-d482-480e-a090-519eef74eee0</t>
  </si>
  <si>
    <t>508b2f60-adfd-4e5b-8db7-2312c43885aa</t>
  </si>
  <si>
    <t>0135704989</t>
  </si>
  <si>
    <t>MUHAMAD SYAUQI ASYROFAL KHABIBI</t>
  </si>
  <si>
    <t>bdc246d2-900d-49f9-8fa0-ac3660c6ee75</t>
  </si>
  <si>
    <t>dddb6397-6cd3-427c-a1e2-de0e52114b06</t>
  </si>
  <si>
    <t>0111797577</t>
  </si>
  <si>
    <t>MUHAMAD ZULMI FAKHRI</t>
  </si>
  <si>
    <t>6f8a8571-2040-4bb9-8720-02c77aa160ba</t>
  </si>
  <si>
    <t>b2b22ff3-d524-42bd-9a68-9d66b86ee680</t>
  </si>
  <si>
    <t>0139036863</t>
  </si>
  <si>
    <t>MUHAMMAD 'IZZA KURNIAWAN</t>
  </si>
  <si>
    <t>3ee6bfb5-7b23-4a02-94fe-ec6ec4d3c67f</t>
  </si>
  <si>
    <t>3f372356-e896-4c90-b9cd-2b85152770da</t>
  </si>
  <si>
    <t>3127598392</t>
  </si>
  <si>
    <t>MUHAMMAD ZIYYA AHLUNNAZA</t>
  </si>
  <si>
    <t>945928c5-0737-4e0c-929d-529ad90b6c19</t>
  </si>
  <si>
    <t>7a80bd33-5888-491a-bd45-5ffb790d8f9f</t>
  </si>
  <si>
    <t>3133623151</t>
  </si>
  <si>
    <t>MUKHAMAD BAYU MAULID</t>
  </si>
  <si>
    <t>dce3ed94-7ef1-4d0f-964e-45e6feba8498</t>
  </si>
  <si>
    <t>30bc12f3-3eb3-4085-83a0-45bc234a0a38</t>
  </si>
  <si>
    <t>3130206215</t>
  </si>
  <si>
    <t>MUTIARA SILMI</t>
  </si>
  <si>
    <t>182259df-3694-4692-9af5-fe8aadd960bf</t>
  </si>
  <si>
    <t>3640b9ee-6986-4ec6-ae9e-eac8bc982540</t>
  </si>
  <si>
    <t>0136942798</t>
  </si>
  <si>
    <t>NAFISA IKLIMA AZZAHRA</t>
  </si>
  <si>
    <t>99bba93d-7221-4a2f-95e4-1e32464a3150</t>
  </si>
  <si>
    <t>23e8fe9c-c2be-41de-8e11-6c583534b6c1</t>
  </si>
  <si>
    <t>3138872764</t>
  </si>
  <si>
    <t>NASY'ATUL MAHYA</t>
  </si>
  <si>
    <t>ae61615e-fc63-4673-9c0e-a4ab0a7112a6</t>
  </si>
  <si>
    <t>fe048b09-6a71-4811-ad1d-df1247e6b2bf</t>
  </si>
  <si>
    <t>0133675007</t>
  </si>
  <si>
    <t>NAUFAL HISAM PRATAMA</t>
  </si>
  <si>
    <t>00f5891e-50e5-48a5-b4f7-e437c00f52a3</t>
  </si>
  <si>
    <t>5d2fa526-01b7-42ab-94cb-f3cc3c52c668</t>
  </si>
  <si>
    <t>3117519319</t>
  </si>
  <si>
    <t>NUR WANIFA</t>
  </si>
  <si>
    <t>17ffc0e6-e825-431c-bf45-adbe59a22bd2</t>
  </si>
  <si>
    <t>5d2d016e-76bb-47e9-8446-97cf186c9173</t>
  </si>
  <si>
    <t>0126327817</t>
  </si>
  <si>
    <t>PUTRI AFHIKA RAMADHANI</t>
  </si>
  <si>
    <t>1eeac8e0-05ec-47e2-8f63-4e44861f5844</t>
  </si>
  <si>
    <t>c5425f16-0fe7-4949-a124-39ef5410fcf6</t>
  </si>
  <si>
    <t>3128203315</t>
  </si>
  <si>
    <t>RISQIA KHILMI RAMADHANI</t>
  </si>
  <si>
    <t>b24e3cc4-babc-4bbe-89c1-594eb241ad94</t>
  </si>
  <si>
    <t>9bf05e48-c3ac-4797-8a73-ebf5411cbe80</t>
  </si>
  <si>
    <t>0136418034</t>
  </si>
  <si>
    <t>SIFA NUR AFIANI</t>
  </si>
  <si>
    <t>0894b0a1-9877-4483-9834-1ce9e100435d</t>
  </si>
  <si>
    <t>1da246cb-3658-41d6-a7b5-ceed4133d551</t>
  </si>
  <si>
    <t>0131258360</t>
  </si>
  <si>
    <t>SYARIFAH NUR AINI</t>
  </si>
  <si>
    <t>9e4b27c6-31dd-4446-8302-7fcff5958cc6</t>
  </si>
  <si>
    <t>bfcccc4f-b156-40d9-bc9f-d5763fd2d6d9</t>
  </si>
  <si>
    <t>3128579214</t>
  </si>
  <si>
    <t>TSABHITA TSAMARA ZAFIRA</t>
  </si>
  <si>
    <t>bb85fc99-6046-4a24-9dff-c044d4977fbb</t>
  </si>
  <si>
    <t>53270e77-c069-4d33-a628-f5e082388f91</t>
  </si>
  <si>
    <t>3125348580</t>
  </si>
  <si>
    <t>ZAHROTUL UYUN</t>
  </si>
  <si>
    <t>0923694f-5f58-4d31-8ceb-34e29726a559</t>
  </si>
  <si>
    <t>51093472-19b9-4d56-98b0-00db3a245ff0</t>
  </si>
  <si>
    <t>0126193041</t>
  </si>
  <si>
    <t>ZAKIA WULAN RAMADHANI</t>
  </si>
  <si>
    <t>4180d6af-f953-4d22-a06c-daa2be2a6611</t>
  </si>
  <si>
    <t>44f3577a-29e8-4356-8492-dfbc048eefd7</t>
  </si>
  <si>
    <t>3137034568</t>
  </si>
  <si>
    <t>ZIDNI AL CHUSNA</t>
  </si>
  <si>
    <t>KETERANGAN :</t>
  </si>
  <si>
    <t xml:space="preserve"> &gt; TP.711 : memanfaatkan TIK antar muka pengguna, surel, peramban pencarian informasi, dan aplikasi perkantoran </t>
  </si>
  <si>
    <t xml:space="preserve"> &gt; TP.713 : menjelaskan komponen, fungsi, cara kerja komputer (sistem komputasi), dan memahami kodifikasi data </t>
  </si>
  <si>
    <t xml:space="preserve"> &gt; TP.714 : Memahami dampak positif dan negatif teknologi informasi, keamanan data pribadi dan berkolaborasi.</t>
  </si>
  <si>
    <t xml:space="preserve"> &gt; TP.715 : mengenal konektivitas internet, jaringan lokal, dan komunikasi data, serta memahami enkripsi data</t>
  </si>
  <si>
    <t>Catatan Validasi:</t>
  </si>
  <si>
    <t xml:space="preserve"> &gt; Jika Nilai Rapor Siswa kurang dari 100, silahkah dipilih Tujuan Pembelajaran mana saja yang masih perlu peningkatan (minimal 1)</t>
  </si>
  <si>
    <t xml:space="preserve"> &gt; Selain memilih Tujuan Pembelajaran yang masih perlu peningkatan, pilih juga Tujuan Pembelajaran yang mana saja sudah dicapai dengan sangat optimal (minimal 1)</t>
  </si>
  <si>
    <t xml:space="preserve"> &gt; Tidak mesti semua Tujuan Pembelajaran yarus dipilih, minimal pilih satu yang paling optimal dan satu yang paling minimal</t>
  </si>
  <si>
    <t xml:space="preserve"> &gt; Pahami Konsep Pembelajaran dan Asesmen sebagaimana telah dimuat pada Buku Panduan PPA agar tidak keliru dalam memahami format nilai rapor ini.</t>
  </si>
  <si>
    <t>R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</si>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</sst>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</font>
    <font>
      <b/>
      <sz val="12"/>
      <color rgb="FFFFFFFF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 applyProtection="1">
      <alignment vertical="top" wrapText="1"/>
      <protection hidden="1"/>
    </xf>
    <xf numFmtId="0" fontId="5" fillId="2" borderId="1" xfId="0" applyFont="1" applyFill="1" applyBorder="1" applyAlignment="1" applyProtection="1">
      <alignment horizontal="center" vertical="top" wrapText="1"/>
      <protection locked="0"/>
    </xf>
    <xf numFmtId="0" fontId="0" fillId="0" borderId="1" xfId="0" applyBorder="1" applyAlignment="1" applyProtection="1">
      <alignment horizontal="center" vertical="top" wrapText="1"/>
      <protection locked="0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 applyProtection="1">
      <alignment horizontal="center" vertical="top" wrapText="1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topLeftCell="A27" workbookViewId="0">
      <selection activeCell="Q12" sqref="Q12"/>
    </sheetView>
  </sheetViews>
  <sheetFormatPr defaultRowHeight="15" x14ac:dyDescent="0.25"/>
  <cols>
    <col min="1" max="1" width="5" customWidth="1"/>
    <col min="2" max="4" width="0" hidden="1" customWidth="1"/>
    <col min="5" max="5" width="13" customWidth="1"/>
    <col min="6" max="6" width="37.7109375" bestFit="1" customWidth="1"/>
    <col min="7" max="7" width="17.7109375" bestFit="1" customWidth="1"/>
    <col min="8" max="11" width="10" customWidth="1"/>
    <col min="12" max="13" width="0" hidden="1" customWidth="1"/>
    <col min="14" max="14" width="15" customWidth="1"/>
  </cols>
  <sheetData>
    <row r="1" spans="1:14" ht="18.75" x14ac:dyDescent="0.3">
      <c r="A1" s="3" t="s">
        <v>0</v>
      </c>
      <c r="B1">
        <v>14</v>
      </c>
    </row>
    <row r="2" spans="1:14" x14ac:dyDescent="0.25">
      <c r="B2">
        <v>38</v>
      </c>
      <c r="C2" t="s">
        <v>1</v>
      </c>
      <c r="D2">
        <v>700106100</v>
      </c>
    </row>
    <row r="3" spans="1:14" ht="24.95" customHeight="1" x14ac:dyDescent="0.25">
      <c r="A3" s="10" t="s">
        <v>2</v>
      </c>
      <c r="B3" s="10" t="s">
        <v>3</v>
      </c>
      <c r="C3" s="10" t="s">
        <v>3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/>
      <c r="J3" s="10"/>
      <c r="K3" s="10"/>
      <c r="L3" s="10" t="s">
        <v>20</v>
      </c>
      <c r="M3" s="10"/>
      <c r="N3" s="10"/>
    </row>
    <row r="4" spans="1:14" ht="0" hidden="1" customHeight="1" x14ac:dyDescent="0.25">
      <c r="A4" s="11"/>
      <c r="B4" s="11"/>
      <c r="C4" s="11"/>
      <c r="D4" s="11"/>
      <c r="E4" s="11"/>
      <c r="F4" s="11"/>
      <c r="G4" s="12"/>
      <c r="H4" s="8" t="s">
        <v>8</v>
      </c>
      <c r="I4" s="8" t="s">
        <v>11</v>
      </c>
      <c r="J4" s="8" t="s">
        <v>14</v>
      </c>
      <c r="K4" s="8" t="s">
        <v>17</v>
      </c>
      <c r="L4" s="4"/>
      <c r="M4" s="4"/>
      <c r="N4" s="4"/>
    </row>
    <row r="5" spans="1:14" ht="0" hidden="1" customHeight="1" x14ac:dyDescent="0.25">
      <c r="A5" s="11"/>
      <c r="B5" s="11"/>
      <c r="C5" s="11"/>
      <c r="D5" s="11"/>
      <c r="E5" s="11"/>
      <c r="F5" s="11"/>
      <c r="G5" s="12"/>
      <c r="H5" s="8" t="s">
        <v>9</v>
      </c>
      <c r="I5" s="8" t="s">
        <v>12</v>
      </c>
      <c r="J5" s="8" t="s">
        <v>15</v>
      </c>
      <c r="K5" s="8" t="s">
        <v>18</v>
      </c>
      <c r="L5" s="4"/>
      <c r="M5" s="4"/>
      <c r="N5" s="4"/>
    </row>
    <row r="6" spans="1:14" x14ac:dyDescent="0.25">
      <c r="A6" s="11"/>
      <c r="B6" s="11"/>
      <c r="C6" s="11"/>
      <c r="D6" s="11"/>
      <c r="E6" s="11"/>
      <c r="F6" s="11"/>
      <c r="G6" s="12"/>
      <c r="H6" s="8" t="s">
        <v>10</v>
      </c>
      <c r="I6" s="8" t="s">
        <v>13</v>
      </c>
      <c r="J6" s="8" t="s">
        <v>16</v>
      </c>
      <c r="K6" s="8" t="s">
        <v>19</v>
      </c>
      <c r="L6" s="4" t="s">
        <v>21</v>
      </c>
      <c r="M6" s="4" t="s">
        <v>22</v>
      </c>
      <c r="N6" s="4" t="s">
        <v>23</v>
      </c>
    </row>
    <row r="7" spans="1:14" ht="20.100000000000001" customHeight="1" x14ac:dyDescent="0.25">
      <c r="A7" s="5">
        <v>1</v>
      </c>
      <c r="B7" s="5" t="s">
        <v>24</v>
      </c>
      <c r="C7" s="5" t="s">
        <v>25</v>
      </c>
      <c r="D7" s="5">
        <v>1</v>
      </c>
      <c r="E7" s="5" t="s">
        <v>26</v>
      </c>
      <c r="F7" s="5" t="s">
        <v>27</v>
      </c>
      <c r="G7" s="9">
        <v>84</v>
      </c>
      <c r="H7" s="9" t="s">
        <v>162</v>
      </c>
      <c r="I7" s="9" t="s">
        <v>162</v>
      </c>
      <c r="J7" s="9" t="s">
        <v>163</v>
      </c>
      <c r="K7" s="9" t="s">
        <v>162</v>
      </c>
      <c r="L7" s="6">
        <f t="shared" ref="L7:L38" si="0">COUNTIF(H7:K7,"R")</f>
        <v>3</v>
      </c>
      <c r="M7" s="6">
        <f t="shared" ref="M7:M38" si="1">COUNTIF(H7:K7,"T")</f>
        <v>1</v>
      </c>
      <c r="N7" s="7" t="str">
        <f t="shared" ref="N7:N38" si="2">IF(G7="","",IF(G7=100,IF(L7&gt;0,"Tidak Valid",IF((L7+M7)&gt;0,"Valid","Tidak Valid")),IF(L7=0,"Tidak Valid",IF((L7+M7)&gt;0,"Valid","Tidak Valid"))))</f>
        <v>Valid</v>
      </c>
    </row>
    <row r="8" spans="1:14" ht="20.100000000000001" customHeight="1" x14ac:dyDescent="0.25">
      <c r="A8" s="5">
        <v>2</v>
      </c>
      <c r="B8" s="5" t="s">
        <v>28</v>
      </c>
      <c r="C8" s="5" t="s">
        <v>29</v>
      </c>
      <c r="D8" s="5">
        <v>1</v>
      </c>
      <c r="E8" s="5" t="s">
        <v>30</v>
      </c>
      <c r="F8" s="5" t="s">
        <v>31</v>
      </c>
      <c r="G8" s="9">
        <v>88</v>
      </c>
      <c r="H8" s="9" t="s">
        <v>162</v>
      </c>
      <c r="I8" s="9" t="s">
        <v>162</v>
      </c>
      <c r="J8" s="9" t="s">
        <v>162</v>
      </c>
      <c r="K8" s="9" t="s">
        <v>163</v>
      </c>
      <c r="L8" s="6">
        <f t="shared" si="0"/>
        <v>3</v>
      </c>
      <c r="M8" s="6">
        <f t="shared" si="1"/>
        <v>1</v>
      </c>
      <c r="N8" s="7" t="str">
        <f t="shared" si="2"/>
        <v>Valid</v>
      </c>
    </row>
    <row r="9" spans="1:14" ht="20.100000000000001" customHeight="1" x14ac:dyDescent="0.25">
      <c r="A9" s="5">
        <v>3</v>
      </c>
      <c r="B9" s="5" t="s">
        <v>32</v>
      </c>
      <c r="C9" s="5" t="s">
        <v>33</v>
      </c>
      <c r="D9" s="5">
        <v>1</v>
      </c>
      <c r="E9" s="5" t="s">
        <v>34</v>
      </c>
      <c r="F9" s="5" t="s">
        <v>35</v>
      </c>
      <c r="G9" s="9">
        <v>86</v>
      </c>
      <c r="H9" s="9" t="s">
        <v>162</v>
      </c>
      <c r="I9" s="9" t="s">
        <v>162</v>
      </c>
      <c r="J9" s="9" t="s">
        <v>163</v>
      </c>
      <c r="K9" s="9" t="s">
        <v>162</v>
      </c>
      <c r="L9" s="6">
        <f t="shared" si="0"/>
        <v>3</v>
      </c>
      <c r="M9" s="6">
        <f t="shared" si="1"/>
        <v>1</v>
      </c>
      <c r="N9" s="7" t="str">
        <f t="shared" si="2"/>
        <v>Valid</v>
      </c>
    </row>
    <row r="10" spans="1:14" ht="20.100000000000001" customHeight="1" x14ac:dyDescent="0.25">
      <c r="A10" s="5">
        <v>4</v>
      </c>
      <c r="B10" s="5" t="s">
        <v>36</v>
      </c>
      <c r="C10" s="5" t="s">
        <v>37</v>
      </c>
      <c r="D10" s="5">
        <v>1</v>
      </c>
      <c r="E10" s="5" t="s">
        <v>38</v>
      </c>
      <c r="F10" s="5" t="s">
        <v>39</v>
      </c>
      <c r="G10" s="9">
        <v>90</v>
      </c>
      <c r="H10" s="9" t="s">
        <v>162</v>
      </c>
      <c r="I10" s="9" t="s">
        <v>162</v>
      </c>
      <c r="J10" s="9" t="s">
        <v>163</v>
      </c>
      <c r="K10" s="9" t="s">
        <v>163</v>
      </c>
      <c r="L10" s="6">
        <f t="shared" si="0"/>
        <v>2</v>
      </c>
      <c r="M10" s="6">
        <f t="shared" si="1"/>
        <v>2</v>
      </c>
      <c r="N10" s="7" t="str">
        <f t="shared" si="2"/>
        <v>Valid</v>
      </c>
    </row>
    <row r="11" spans="1:14" ht="20.100000000000001" customHeight="1" x14ac:dyDescent="0.25">
      <c r="A11" s="5">
        <v>5</v>
      </c>
      <c r="B11" s="5" t="s">
        <v>40</v>
      </c>
      <c r="C11" s="5" t="s">
        <v>41</v>
      </c>
      <c r="D11" s="5">
        <v>1</v>
      </c>
      <c r="E11" s="5" t="s">
        <v>42</v>
      </c>
      <c r="F11" s="5" t="s">
        <v>43</v>
      </c>
      <c r="G11" s="9">
        <v>91</v>
      </c>
      <c r="H11" s="9" t="s">
        <v>162</v>
      </c>
      <c r="I11" s="9" t="s">
        <v>162</v>
      </c>
      <c r="J11" s="9" t="s">
        <v>163</v>
      </c>
      <c r="K11" s="9" t="s">
        <v>163</v>
      </c>
      <c r="L11" s="6">
        <f t="shared" si="0"/>
        <v>2</v>
      </c>
      <c r="M11" s="6">
        <f t="shared" si="1"/>
        <v>2</v>
      </c>
      <c r="N11" s="7" t="str">
        <f t="shared" si="2"/>
        <v>Valid</v>
      </c>
    </row>
    <row r="12" spans="1:14" ht="20.100000000000001" customHeight="1" x14ac:dyDescent="0.25">
      <c r="A12" s="5">
        <v>6</v>
      </c>
      <c r="B12" s="5" t="s">
        <v>44</v>
      </c>
      <c r="C12" s="5" t="s">
        <v>45</v>
      </c>
      <c r="D12" s="5">
        <v>1</v>
      </c>
      <c r="E12" s="5" t="s">
        <v>46</v>
      </c>
      <c r="F12" s="5" t="s">
        <v>47</v>
      </c>
      <c r="G12" s="9">
        <v>91</v>
      </c>
      <c r="H12" s="9" t="s">
        <v>162</v>
      </c>
      <c r="I12" s="9" t="s">
        <v>162</v>
      </c>
      <c r="J12" s="9" t="s">
        <v>163</v>
      </c>
      <c r="K12" s="9" t="s">
        <v>163</v>
      </c>
      <c r="L12" s="6">
        <f t="shared" si="0"/>
        <v>2</v>
      </c>
      <c r="M12" s="6">
        <f t="shared" si="1"/>
        <v>2</v>
      </c>
      <c r="N12" s="7" t="str">
        <f t="shared" si="2"/>
        <v>Valid</v>
      </c>
    </row>
    <row r="13" spans="1:14" ht="20.100000000000001" customHeight="1" x14ac:dyDescent="0.25">
      <c r="A13" s="5">
        <v>7</v>
      </c>
      <c r="B13" s="5" t="s">
        <v>48</v>
      </c>
      <c r="C13" s="5" t="s">
        <v>49</v>
      </c>
      <c r="D13" s="5">
        <v>1</v>
      </c>
      <c r="E13" s="5" t="s">
        <v>50</v>
      </c>
      <c r="F13" s="5" t="s">
        <v>51</v>
      </c>
      <c r="G13" s="9">
        <v>81</v>
      </c>
      <c r="H13" s="9" t="s">
        <v>162</v>
      </c>
      <c r="I13" s="9" t="s">
        <v>162</v>
      </c>
      <c r="J13" s="9" t="s">
        <v>163</v>
      </c>
      <c r="K13" s="9" t="s">
        <v>162</v>
      </c>
      <c r="L13" s="6">
        <f t="shared" si="0"/>
        <v>3</v>
      </c>
      <c r="M13" s="6">
        <f t="shared" si="1"/>
        <v>1</v>
      </c>
      <c r="N13" s="7" t="str">
        <f t="shared" si="2"/>
        <v>Valid</v>
      </c>
    </row>
    <row r="14" spans="1:14" ht="20.100000000000001" customHeight="1" x14ac:dyDescent="0.25">
      <c r="A14" s="5">
        <v>8</v>
      </c>
      <c r="B14" s="5" t="s">
        <v>52</v>
      </c>
      <c r="C14" s="5" t="s">
        <v>53</v>
      </c>
      <c r="D14" s="5">
        <v>1</v>
      </c>
      <c r="E14" s="5" t="s">
        <v>54</v>
      </c>
      <c r="F14" s="5" t="s">
        <v>55</v>
      </c>
      <c r="G14" s="9">
        <v>82</v>
      </c>
      <c r="H14" s="9" t="s">
        <v>162</v>
      </c>
      <c r="I14" s="9" t="s">
        <v>162</v>
      </c>
      <c r="J14" s="9" t="s">
        <v>163</v>
      </c>
      <c r="K14" s="9" t="s">
        <v>162</v>
      </c>
      <c r="L14" s="6">
        <f t="shared" si="0"/>
        <v>3</v>
      </c>
      <c r="M14" s="6">
        <f t="shared" si="1"/>
        <v>1</v>
      </c>
      <c r="N14" s="7" t="str">
        <f t="shared" si="2"/>
        <v>Valid</v>
      </c>
    </row>
    <row r="15" spans="1:14" ht="20.100000000000001" customHeight="1" x14ac:dyDescent="0.25">
      <c r="A15" s="5">
        <v>9</v>
      </c>
      <c r="B15" s="5" t="s">
        <v>56</v>
      </c>
      <c r="C15" s="5" t="s">
        <v>57</v>
      </c>
      <c r="D15" s="5">
        <v>1</v>
      </c>
      <c r="E15" s="5" t="s">
        <v>58</v>
      </c>
      <c r="F15" s="5" t="s">
        <v>59</v>
      </c>
      <c r="G15" s="9">
        <v>86</v>
      </c>
      <c r="H15" s="9" t="s">
        <v>162</v>
      </c>
      <c r="I15" s="9" t="s">
        <v>163</v>
      </c>
      <c r="J15" s="9" t="s">
        <v>163</v>
      </c>
      <c r="K15" s="9" t="s">
        <v>162</v>
      </c>
      <c r="L15" s="6">
        <f t="shared" si="0"/>
        <v>2</v>
      </c>
      <c r="M15" s="6">
        <f t="shared" si="1"/>
        <v>2</v>
      </c>
      <c r="N15" s="7" t="str">
        <f t="shared" si="2"/>
        <v>Valid</v>
      </c>
    </row>
    <row r="16" spans="1:14" ht="20.100000000000001" customHeight="1" x14ac:dyDescent="0.25">
      <c r="A16" s="5">
        <v>10</v>
      </c>
      <c r="B16" s="5" t="s">
        <v>60</v>
      </c>
      <c r="C16" s="5" t="s">
        <v>61</v>
      </c>
      <c r="D16" s="5">
        <v>1</v>
      </c>
      <c r="E16" s="5" t="s">
        <v>62</v>
      </c>
      <c r="F16" s="5" t="s">
        <v>63</v>
      </c>
      <c r="G16" s="9">
        <v>85</v>
      </c>
      <c r="H16" s="9" t="s">
        <v>162</v>
      </c>
      <c r="I16" s="9" t="s">
        <v>163</v>
      </c>
      <c r="J16" s="9" t="s">
        <v>163</v>
      </c>
      <c r="K16" s="9" t="s">
        <v>162</v>
      </c>
      <c r="L16" s="6">
        <f t="shared" si="0"/>
        <v>2</v>
      </c>
      <c r="M16" s="6">
        <f t="shared" si="1"/>
        <v>2</v>
      </c>
      <c r="N16" s="7" t="str">
        <f t="shared" si="2"/>
        <v>Valid</v>
      </c>
    </row>
    <row r="17" spans="1:14" ht="20.100000000000001" customHeight="1" x14ac:dyDescent="0.25">
      <c r="A17" s="5">
        <v>11</v>
      </c>
      <c r="B17" s="5" t="s">
        <v>64</v>
      </c>
      <c r="C17" s="5" t="s">
        <v>65</v>
      </c>
      <c r="D17" s="5">
        <v>1</v>
      </c>
      <c r="E17" s="5" t="s">
        <v>66</v>
      </c>
      <c r="F17" s="5" t="s">
        <v>67</v>
      </c>
      <c r="G17" s="9">
        <v>86</v>
      </c>
      <c r="H17" s="9" t="s">
        <v>162</v>
      </c>
      <c r="I17" s="9" t="s">
        <v>163</v>
      </c>
      <c r="J17" s="9" t="s">
        <v>163</v>
      </c>
      <c r="K17" s="9" t="s">
        <v>162</v>
      </c>
      <c r="L17" s="6">
        <f t="shared" si="0"/>
        <v>2</v>
      </c>
      <c r="M17" s="6">
        <f t="shared" si="1"/>
        <v>2</v>
      </c>
      <c r="N17" s="7" t="str">
        <f t="shared" si="2"/>
        <v>Valid</v>
      </c>
    </row>
    <row r="18" spans="1:14" ht="20.100000000000001" customHeight="1" x14ac:dyDescent="0.25">
      <c r="A18" s="5">
        <v>12</v>
      </c>
      <c r="B18" s="5" t="s">
        <v>68</v>
      </c>
      <c r="C18" s="5" t="s">
        <v>69</v>
      </c>
      <c r="D18" s="5">
        <v>1</v>
      </c>
      <c r="E18" s="5" t="s">
        <v>70</v>
      </c>
      <c r="F18" s="5" t="s">
        <v>71</v>
      </c>
      <c r="G18" s="9">
        <v>85</v>
      </c>
      <c r="H18" s="9" t="s">
        <v>162</v>
      </c>
      <c r="I18" s="9" t="s">
        <v>162</v>
      </c>
      <c r="J18" s="9" t="s">
        <v>163</v>
      </c>
      <c r="K18" s="9" t="s">
        <v>163</v>
      </c>
      <c r="L18" s="6">
        <f t="shared" si="0"/>
        <v>2</v>
      </c>
      <c r="M18" s="6">
        <f t="shared" si="1"/>
        <v>2</v>
      </c>
      <c r="N18" s="7" t="str">
        <f t="shared" si="2"/>
        <v>Valid</v>
      </c>
    </row>
    <row r="19" spans="1:14" ht="20.100000000000001" customHeight="1" x14ac:dyDescent="0.25">
      <c r="A19" s="5">
        <v>13</v>
      </c>
      <c r="B19" s="5" t="s">
        <v>72</v>
      </c>
      <c r="C19" s="5" t="s">
        <v>73</v>
      </c>
      <c r="D19" s="5">
        <v>1</v>
      </c>
      <c r="E19" s="5" t="s">
        <v>74</v>
      </c>
      <c r="F19" s="5" t="s">
        <v>75</v>
      </c>
      <c r="G19" s="9">
        <v>81</v>
      </c>
      <c r="H19" s="9" t="s">
        <v>162</v>
      </c>
      <c r="I19" s="9" t="s">
        <v>163</v>
      </c>
      <c r="J19" s="9" t="s">
        <v>163</v>
      </c>
      <c r="K19" s="9" t="s">
        <v>162</v>
      </c>
      <c r="L19" s="6">
        <f t="shared" si="0"/>
        <v>2</v>
      </c>
      <c r="M19" s="6">
        <f t="shared" si="1"/>
        <v>2</v>
      </c>
      <c r="N19" s="7" t="str">
        <f t="shared" si="2"/>
        <v>Valid</v>
      </c>
    </row>
    <row r="20" spans="1:14" ht="20.100000000000001" customHeight="1" x14ac:dyDescent="0.25">
      <c r="A20" s="5">
        <v>14</v>
      </c>
      <c r="B20" s="5" t="s">
        <v>76</v>
      </c>
      <c r="C20" s="5" t="s">
        <v>77</v>
      </c>
      <c r="D20" s="5">
        <v>1</v>
      </c>
      <c r="E20" s="5" t="s">
        <v>78</v>
      </c>
      <c r="F20" s="5" t="s">
        <v>79</v>
      </c>
      <c r="G20" s="9">
        <v>82</v>
      </c>
      <c r="H20" s="9" t="s">
        <v>162</v>
      </c>
      <c r="I20" s="9" t="s">
        <v>162</v>
      </c>
      <c r="J20" s="9" t="s">
        <v>163</v>
      </c>
      <c r="K20" s="9" t="s">
        <v>162</v>
      </c>
      <c r="L20" s="6">
        <f t="shared" si="0"/>
        <v>3</v>
      </c>
      <c r="M20" s="6">
        <f t="shared" si="1"/>
        <v>1</v>
      </c>
      <c r="N20" s="7" t="str">
        <f t="shared" si="2"/>
        <v>Valid</v>
      </c>
    </row>
    <row r="21" spans="1:14" ht="20.100000000000001" customHeight="1" x14ac:dyDescent="0.25">
      <c r="A21" s="5">
        <v>15</v>
      </c>
      <c r="B21" s="5" t="s">
        <v>80</v>
      </c>
      <c r="C21" s="5" t="s">
        <v>81</v>
      </c>
      <c r="D21" s="5">
        <v>1</v>
      </c>
      <c r="E21" s="5" t="s">
        <v>82</v>
      </c>
      <c r="F21" s="5" t="s">
        <v>83</v>
      </c>
      <c r="G21" s="9">
        <v>85</v>
      </c>
      <c r="H21" s="9" t="s">
        <v>162</v>
      </c>
      <c r="I21" s="9" t="s">
        <v>162</v>
      </c>
      <c r="J21" s="9" t="s">
        <v>163</v>
      </c>
      <c r="K21" s="9" t="s">
        <v>162</v>
      </c>
      <c r="L21" s="6">
        <f t="shared" si="0"/>
        <v>3</v>
      </c>
      <c r="M21" s="6">
        <f t="shared" si="1"/>
        <v>1</v>
      </c>
      <c r="N21" s="7" t="str">
        <f t="shared" si="2"/>
        <v>Valid</v>
      </c>
    </row>
    <row r="22" spans="1:14" ht="20.100000000000001" customHeight="1" x14ac:dyDescent="0.25">
      <c r="A22" s="5">
        <v>16</v>
      </c>
      <c r="B22" s="5" t="s">
        <v>84</v>
      </c>
      <c r="C22" s="5" t="s">
        <v>85</v>
      </c>
      <c r="D22" s="5">
        <v>1</v>
      </c>
      <c r="E22" s="5" t="s">
        <v>86</v>
      </c>
      <c r="F22" s="5" t="s">
        <v>87</v>
      </c>
      <c r="G22" s="9">
        <v>79</v>
      </c>
      <c r="H22" s="9" t="s">
        <v>162</v>
      </c>
      <c r="I22" s="9" t="s">
        <v>162</v>
      </c>
      <c r="J22" s="9" t="s">
        <v>163</v>
      </c>
      <c r="K22" s="9" t="s">
        <v>162</v>
      </c>
      <c r="L22" s="6">
        <f t="shared" si="0"/>
        <v>3</v>
      </c>
      <c r="M22" s="6">
        <f t="shared" si="1"/>
        <v>1</v>
      </c>
      <c r="N22" s="7" t="str">
        <f t="shared" si="2"/>
        <v>Valid</v>
      </c>
    </row>
    <row r="23" spans="1:14" ht="20.100000000000001" customHeight="1" x14ac:dyDescent="0.25">
      <c r="A23" s="5">
        <v>17</v>
      </c>
      <c r="B23" s="5" t="s">
        <v>88</v>
      </c>
      <c r="C23" s="5" t="s">
        <v>89</v>
      </c>
      <c r="D23" s="5">
        <v>1</v>
      </c>
      <c r="E23" s="5" t="s">
        <v>90</v>
      </c>
      <c r="F23" s="5" t="s">
        <v>91</v>
      </c>
      <c r="G23" s="9">
        <v>86</v>
      </c>
      <c r="H23" s="9" t="s">
        <v>162</v>
      </c>
      <c r="I23" s="9" t="s">
        <v>162</v>
      </c>
      <c r="J23" s="9" t="s">
        <v>163</v>
      </c>
      <c r="K23" s="9" t="s">
        <v>162</v>
      </c>
      <c r="L23" s="6">
        <f t="shared" si="0"/>
        <v>3</v>
      </c>
      <c r="M23" s="6">
        <f t="shared" si="1"/>
        <v>1</v>
      </c>
      <c r="N23" s="7" t="str">
        <f t="shared" si="2"/>
        <v>Valid</v>
      </c>
    </row>
    <row r="24" spans="1:14" ht="20.100000000000001" customHeight="1" x14ac:dyDescent="0.25">
      <c r="A24" s="5">
        <v>18</v>
      </c>
      <c r="B24" s="5" t="s">
        <v>92</v>
      </c>
      <c r="C24" s="5" t="s">
        <v>93</v>
      </c>
      <c r="D24" s="5">
        <v>1</v>
      </c>
      <c r="E24" s="5" t="s">
        <v>94</v>
      </c>
      <c r="F24" s="5" t="s">
        <v>95</v>
      </c>
      <c r="G24" s="9">
        <v>87</v>
      </c>
      <c r="H24" s="9" t="s">
        <v>162</v>
      </c>
      <c r="I24" s="9" t="s">
        <v>162</v>
      </c>
      <c r="J24" s="9" t="s">
        <v>163</v>
      </c>
      <c r="K24" s="9" t="s">
        <v>163</v>
      </c>
      <c r="L24" s="6">
        <f t="shared" si="0"/>
        <v>2</v>
      </c>
      <c r="M24" s="6">
        <f t="shared" si="1"/>
        <v>2</v>
      </c>
      <c r="N24" s="7" t="str">
        <f t="shared" si="2"/>
        <v>Valid</v>
      </c>
    </row>
    <row r="25" spans="1:14" ht="20.100000000000001" customHeight="1" x14ac:dyDescent="0.25">
      <c r="A25" s="5">
        <v>19</v>
      </c>
      <c r="B25" s="5" t="s">
        <v>96</v>
      </c>
      <c r="C25" s="5" t="s">
        <v>97</v>
      </c>
      <c r="D25" s="5">
        <v>1</v>
      </c>
      <c r="E25" s="5" t="s">
        <v>98</v>
      </c>
      <c r="F25" s="5" t="s">
        <v>99</v>
      </c>
      <c r="G25" s="9">
        <v>87</v>
      </c>
      <c r="H25" s="9" t="s">
        <v>162</v>
      </c>
      <c r="I25" s="9" t="s">
        <v>162</v>
      </c>
      <c r="J25" s="9" t="s">
        <v>163</v>
      </c>
      <c r="K25" s="9" t="s">
        <v>163</v>
      </c>
      <c r="L25" s="6">
        <f t="shared" si="0"/>
        <v>2</v>
      </c>
      <c r="M25" s="6">
        <f t="shared" si="1"/>
        <v>2</v>
      </c>
      <c r="N25" s="7" t="str">
        <f t="shared" si="2"/>
        <v>Valid</v>
      </c>
    </row>
    <row r="26" spans="1:14" ht="20.100000000000001" customHeight="1" x14ac:dyDescent="0.25">
      <c r="A26" s="5">
        <v>20</v>
      </c>
      <c r="B26" s="5" t="s">
        <v>100</v>
      </c>
      <c r="C26" s="5" t="s">
        <v>101</v>
      </c>
      <c r="D26" s="5">
        <v>1</v>
      </c>
      <c r="E26" s="5" t="s">
        <v>102</v>
      </c>
      <c r="F26" s="5" t="s">
        <v>103</v>
      </c>
      <c r="G26" s="9">
        <v>84</v>
      </c>
      <c r="H26" s="9" t="s">
        <v>162</v>
      </c>
      <c r="I26" s="9" t="s">
        <v>162</v>
      </c>
      <c r="J26" s="9" t="s">
        <v>163</v>
      </c>
      <c r="K26" s="9" t="s">
        <v>162</v>
      </c>
      <c r="L26" s="6">
        <f t="shared" si="0"/>
        <v>3</v>
      </c>
      <c r="M26" s="6">
        <f t="shared" si="1"/>
        <v>1</v>
      </c>
      <c r="N26" s="7" t="str">
        <f t="shared" si="2"/>
        <v>Valid</v>
      </c>
    </row>
    <row r="27" spans="1:14" ht="20.100000000000001" customHeight="1" x14ac:dyDescent="0.25">
      <c r="A27" s="5">
        <v>21</v>
      </c>
      <c r="B27" s="5" t="s">
        <v>104</v>
      </c>
      <c r="C27" s="5" t="s">
        <v>105</v>
      </c>
      <c r="D27" s="5">
        <v>1</v>
      </c>
      <c r="E27" s="5" t="s">
        <v>106</v>
      </c>
      <c r="F27" s="5" t="s">
        <v>107</v>
      </c>
      <c r="G27" s="9">
        <v>84</v>
      </c>
      <c r="H27" s="9" t="s">
        <v>162</v>
      </c>
      <c r="I27" s="9" t="s">
        <v>162</v>
      </c>
      <c r="J27" s="9" t="s">
        <v>163</v>
      </c>
      <c r="K27" s="9" t="s">
        <v>162</v>
      </c>
      <c r="L27" s="6">
        <f t="shared" si="0"/>
        <v>3</v>
      </c>
      <c r="M27" s="6">
        <f t="shared" si="1"/>
        <v>1</v>
      </c>
      <c r="N27" s="7" t="str">
        <f t="shared" si="2"/>
        <v>Valid</v>
      </c>
    </row>
    <row r="28" spans="1:14" ht="20.100000000000001" customHeight="1" x14ac:dyDescent="0.25">
      <c r="A28" s="5">
        <v>22</v>
      </c>
      <c r="B28" s="5" t="s">
        <v>108</v>
      </c>
      <c r="C28" s="5" t="s">
        <v>109</v>
      </c>
      <c r="D28" s="5">
        <v>1</v>
      </c>
      <c r="E28" s="5" t="s">
        <v>110</v>
      </c>
      <c r="F28" s="5" t="s">
        <v>111</v>
      </c>
      <c r="G28" s="9">
        <v>85</v>
      </c>
      <c r="H28" s="9" t="s">
        <v>162</v>
      </c>
      <c r="I28" s="9" t="s">
        <v>162</v>
      </c>
      <c r="J28" s="9" t="s">
        <v>163</v>
      </c>
      <c r="K28" s="9" t="s">
        <v>162</v>
      </c>
      <c r="L28" s="6">
        <f t="shared" si="0"/>
        <v>3</v>
      </c>
      <c r="M28" s="6">
        <f t="shared" si="1"/>
        <v>1</v>
      </c>
      <c r="N28" s="7" t="str">
        <f t="shared" si="2"/>
        <v>Valid</v>
      </c>
    </row>
    <row r="29" spans="1:14" ht="20.100000000000001" customHeight="1" x14ac:dyDescent="0.25">
      <c r="A29" s="5">
        <v>23</v>
      </c>
      <c r="B29" s="5" t="s">
        <v>112</v>
      </c>
      <c r="C29" s="5" t="s">
        <v>113</v>
      </c>
      <c r="D29" s="5">
        <v>1</v>
      </c>
      <c r="E29" s="5" t="s">
        <v>114</v>
      </c>
      <c r="F29" s="5" t="s">
        <v>115</v>
      </c>
      <c r="G29" s="9">
        <v>85</v>
      </c>
      <c r="H29" s="9" t="s">
        <v>162</v>
      </c>
      <c r="I29" s="9" t="s">
        <v>162</v>
      </c>
      <c r="J29" s="9" t="s">
        <v>163</v>
      </c>
      <c r="K29" s="9" t="s">
        <v>162</v>
      </c>
      <c r="L29" s="6">
        <f t="shared" si="0"/>
        <v>3</v>
      </c>
      <c r="M29" s="6">
        <f t="shared" si="1"/>
        <v>1</v>
      </c>
      <c r="N29" s="7" t="str">
        <f t="shared" si="2"/>
        <v>Valid</v>
      </c>
    </row>
    <row r="30" spans="1:14" ht="20.100000000000001" customHeight="1" x14ac:dyDescent="0.25">
      <c r="A30" s="5">
        <v>24</v>
      </c>
      <c r="B30" s="5" t="s">
        <v>116</v>
      </c>
      <c r="C30" s="5" t="s">
        <v>117</v>
      </c>
      <c r="D30" s="5">
        <v>1</v>
      </c>
      <c r="E30" s="5" t="s">
        <v>118</v>
      </c>
      <c r="F30" s="5" t="s">
        <v>119</v>
      </c>
      <c r="G30" s="9">
        <v>84</v>
      </c>
      <c r="H30" s="9" t="s">
        <v>162</v>
      </c>
      <c r="I30" s="9" t="s">
        <v>162</v>
      </c>
      <c r="J30" s="9" t="s">
        <v>163</v>
      </c>
      <c r="K30" s="9" t="s">
        <v>162</v>
      </c>
      <c r="L30" s="6">
        <f t="shared" si="0"/>
        <v>3</v>
      </c>
      <c r="M30" s="6">
        <f t="shared" si="1"/>
        <v>1</v>
      </c>
      <c r="N30" s="7" t="str">
        <f t="shared" si="2"/>
        <v>Valid</v>
      </c>
    </row>
    <row r="31" spans="1:14" ht="20.100000000000001" customHeight="1" x14ac:dyDescent="0.25">
      <c r="A31" s="5">
        <v>25</v>
      </c>
      <c r="B31" s="5" t="s">
        <v>120</v>
      </c>
      <c r="C31" s="5" t="s">
        <v>121</v>
      </c>
      <c r="D31" s="5">
        <v>1</v>
      </c>
      <c r="E31" s="5" t="s">
        <v>122</v>
      </c>
      <c r="F31" s="5" t="s">
        <v>123</v>
      </c>
      <c r="G31" s="9">
        <v>84</v>
      </c>
      <c r="H31" s="9" t="s">
        <v>162</v>
      </c>
      <c r="I31" s="9" t="s">
        <v>162</v>
      </c>
      <c r="J31" s="9" t="s">
        <v>163</v>
      </c>
      <c r="K31" s="9" t="s">
        <v>162</v>
      </c>
      <c r="L31" s="6">
        <f t="shared" si="0"/>
        <v>3</v>
      </c>
      <c r="M31" s="6">
        <f t="shared" si="1"/>
        <v>1</v>
      </c>
      <c r="N31" s="7" t="str">
        <f t="shared" si="2"/>
        <v>Valid</v>
      </c>
    </row>
    <row r="32" spans="1:14" ht="20.100000000000001" customHeight="1" x14ac:dyDescent="0.25">
      <c r="A32" s="5">
        <v>26</v>
      </c>
      <c r="B32" s="5" t="s">
        <v>124</v>
      </c>
      <c r="C32" s="5" t="s">
        <v>125</v>
      </c>
      <c r="D32" s="5">
        <v>1</v>
      </c>
      <c r="E32" s="5" t="s">
        <v>126</v>
      </c>
      <c r="F32" s="5" t="s">
        <v>127</v>
      </c>
      <c r="G32" s="9">
        <v>86</v>
      </c>
      <c r="H32" s="9" t="s">
        <v>162</v>
      </c>
      <c r="I32" s="9" t="s">
        <v>162</v>
      </c>
      <c r="J32" s="9" t="s">
        <v>163</v>
      </c>
      <c r="K32" s="9" t="s">
        <v>162</v>
      </c>
      <c r="L32" s="6">
        <f t="shared" si="0"/>
        <v>3</v>
      </c>
      <c r="M32" s="6">
        <f t="shared" si="1"/>
        <v>1</v>
      </c>
      <c r="N32" s="7" t="str">
        <f t="shared" si="2"/>
        <v>Valid</v>
      </c>
    </row>
    <row r="33" spans="1:14" ht="20.100000000000001" customHeight="1" x14ac:dyDescent="0.25">
      <c r="A33" s="5">
        <v>27</v>
      </c>
      <c r="B33" s="5" t="s">
        <v>128</v>
      </c>
      <c r="C33" s="5" t="s">
        <v>129</v>
      </c>
      <c r="D33" s="5">
        <v>1</v>
      </c>
      <c r="E33" s="5" t="s">
        <v>130</v>
      </c>
      <c r="F33" s="5" t="s">
        <v>131</v>
      </c>
      <c r="G33" s="9">
        <v>87</v>
      </c>
      <c r="H33" s="9" t="s">
        <v>162</v>
      </c>
      <c r="I33" s="9" t="s">
        <v>162</v>
      </c>
      <c r="J33" s="9" t="s">
        <v>163</v>
      </c>
      <c r="K33" s="9" t="s">
        <v>162</v>
      </c>
      <c r="L33" s="6">
        <f t="shared" si="0"/>
        <v>3</v>
      </c>
      <c r="M33" s="6">
        <f t="shared" si="1"/>
        <v>1</v>
      </c>
      <c r="N33" s="7" t="str">
        <f t="shared" si="2"/>
        <v>Valid</v>
      </c>
    </row>
    <row r="34" spans="1:14" ht="20.100000000000001" customHeight="1" x14ac:dyDescent="0.25">
      <c r="A34" s="5">
        <v>28</v>
      </c>
      <c r="B34" s="5" t="s">
        <v>132</v>
      </c>
      <c r="C34" s="5" t="s">
        <v>133</v>
      </c>
      <c r="D34" s="5">
        <v>1</v>
      </c>
      <c r="E34" s="5" t="s">
        <v>134</v>
      </c>
      <c r="F34" s="5" t="s">
        <v>135</v>
      </c>
      <c r="G34" s="9">
        <v>84</v>
      </c>
      <c r="H34" s="9" t="s">
        <v>162</v>
      </c>
      <c r="I34" s="9" t="s">
        <v>162</v>
      </c>
      <c r="J34" s="9" t="s">
        <v>163</v>
      </c>
      <c r="K34" s="9" t="s">
        <v>162</v>
      </c>
      <c r="L34" s="6">
        <f t="shared" si="0"/>
        <v>3</v>
      </c>
      <c r="M34" s="6">
        <f t="shared" si="1"/>
        <v>1</v>
      </c>
      <c r="N34" s="7" t="str">
        <f t="shared" si="2"/>
        <v>Valid</v>
      </c>
    </row>
    <row r="35" spans="1:14" ht="20.100000000000001" customHeight="1" x14ac:dyDescent="0.25">
      <c r="A35" s="5">
        <v>29</v>
      </c>
      <c r="B35" s="5" t="s">
        <v>136</v>
      </c>
      <c r="C35" s="5" t="s">
        <v>137</v>
      </c>
      <c r="D35" s="5">
        <v>1</v>
      </c>
      <c r="E35" s="5" t="s">
        <v>138</v>
      </c>
      <c r="F35" s="5" t="s">
        <v>139</v>
      </c>
      <c r="G35" s="9">
        <v>92</v>
      </c>
      <c r="H35" s="9" t="s">
        <v>162</v>
      </c>
      <c r="I35" s="9" t="s">
        <v>162</v>
      </c>
      <c r="J35" s="9" t="s">
        <v>163</v>
      </c>
      <c r="K35" s="9" t="s">
        <v>163</v>
      </c>
      <c r="L35" s="6">
        <f t="shared" si="0"/>
        <v>2</v>
      </c>
      <c r="M35" s="6">
        <f t="shared" si="1"/>
        <v>2</v>
      </c>
      <c r="N35" s="7" t="str">
        <f t="shared" si="2"/>
        <v>Valid</v>
      </c>
    </row>
    <row r="36" spans="1:14" ht="20.100000000000001" customHeight="1" x14ac:dyDescent="0.25">
      <c r="A36" s="5">
        <v>30</v>
      </c>
      <c r="B36" s="5" t="s">
        <v>140</v>
      </c>
      <c r="C36" s="5" t="s">
        <v>141</v>
      </c>
      <c r="D36" s="5">
        <v>1</v>
      </c>
      <c r="E36" s="5" t="s">
        <v>142</v>
      </c>
      <c r="F36" s="5" t="s">
        <v>143</v>
      </c>
      <c r="G36" s="9">
        <v>87</v>
      </c>
      <c r="H36" s="9" t="s">
        <v>162</v>
      </c>
      <c r="I36" s="9" t="s">
        <v>162</v>
      </c>
      <c r="J36" s="9" t="s">
        <v>163</v>
      </c>
      <c r="K36" s="9" t="s">
        <v>162</v>
      </c>
      <c r="L36" s="6">
        <f t="shared" si="0"/>
        <v>3</v>
      </c>
      <c r="M36" s="6">
        <f t="shared" si="1"/>
        <v>1</v>
      </c>
      <c r="N36" s="7" t="str">
        <f t="shared" si="2"/>
        <v>Valid</v>
      </c>
    </row>
    <row r="37" spans="1:14" ht="20.100000000000001" customHeight="1" x14ac:dyDescent="0.25">
      <c r="A37" s="5">
        <v>31</v>
      </c>
      <c r="B37" s="5" t="s">
        <v>144</v>
      </c>
      <c r="C37" s="5" t="s">
        <v>145</v>
      </c>
      <c r="D37" s="5">
        <v>1</v>
      </c>
      <c r="E37" s="5" t="s">
        <v>146</v>
      </c>
      <c r="F37" s="5" t="s">
        <v>147</v>
      </c>
      <c r="G37" s="9">
        <v>86</v>
      </c>
      <c r="H37" s="9" t="s">
        <v>162</v>
      </c>
      <c r="I37" s="9" t="s">
        <v>162</v>
      </c>
      <c r="J37" s="9" t="s">
        <v>163</v>
      </c>
      <c r="K37" s="9" t="s">
        <v>162</v>
      </c>
      <c r="L37" s="6">
        <f t="shared" si="0"/>
        <v>3</v>
      </c>
      <c r="M37" s="6">
        <f t="shared" si="1"/>
        <v>1</v>
      </c>
      <c r="N37" s="7" t="str">
        <f t="shared" si="2"/>
        <v>Valid</v>
      </c>
    </row>
    <row r="38" spans="1:14" ht="20.100000000000001" customHeight="1" x14ac:dyDescent="0.25">
      <c r="A38" s="5">
        <v>32</v>
      </c>
      <c r="B38" s="5" t="s">
        <v>148</v>
      </c>
      <c r="C38" s="5" t="s">
        <v>149</v>
      </c>
      <c r="D38" s="5">
        <v>1</v>
      </c>
      <c r="E38" s="5" t="s">
        <v>150</v>
      </c>
      <c r="F38" s="5" t="s">
        <v>151</v>
      </c>
      <c r="G38" s="9">
        <v>85</v>
      </c>
      <c r="H38" s="9" t="s">
        <v>162</v>
      </c>
      <c r="I38" s="9" t="s">
        <v>162</v>
      </c>
      <c r="J38" s="9" t="s">
        <v>163</v>
      </c>
      <c r="K38" s="9" t="s">
        <v>162</v>
      </c>
      <c r="L38" s="6">
        <f t="shared" si="0"/>
        <v>3</v>
      </c>
      <c r="M38" s="6">
        <f t="shared" si="1"/>
        <v>1</v>
      </c>
      <c r="N38" s="7" t="str">
        <f t="shared" si="2"/>
        <v>Valid</v>
      </c>
    </row>
    <row r="40" spans="1:14" ht="15.75" x14ac:dyDescent="0.25">
      <c r="A40" s="1" t="s">
        <v>152</v>
      </c>
    </row>
    <row r="41" spans="1:14" x14ac:dyDescent="0.25">
      <c r="A41" t="s">
        <v>153</v>
      </c>
    </row>
    <row r="42" spans="1:14" x14ac:dyDescent="0.25">
      <c r="A42" t="s">
        <v>154</v>
      </c>
    </row>
    <row r="43" spans="1:14" x14ac:dyDescent="0.25">
      <c r="A43" t="s">
        <v>155</v>
      </c>
    </row>
    <row r="44" spans="1:14" x14ac:dyDescent="0.25">
      <c r="A44" t="s">
        <v>156</v>
      </c>
    </row>
    <row r="45" spans="1:14" x14ac:dyDescent="0.25">
      <c r="A45" s="2" t="s">
        <v>157</v>
      </c>
    </row>
    <row r="46" spans="1:14" x14ac:dyDescent="0.25">
      <c r="A46" t="s">
        <v>158</v>
      </c>
    </row>
    <row r="47" spans="1:14" x14ac:dyDescent="0.25">
      <c r="A47" t="s">
        <v>159</v>
      </c>
    </row>
    <row r="48" spans="1:14" x14ac:dyDescent="0.25">
      <c r="A48" t="s">
        <v>160</v>
      </c>
    </row>
    <row r="49" spans="1:1" x14ac:dyDescent="0.25">
      <c r="A49" t="s">
        <v>161</v>
      </c>
    </row>
  </sheetData>
  <sheetProtection password="E249" sheet="1"/>
  <mergeCells count="9">
    <mergeCell ref="F3:F6"/>
    <mergeCell ref="G3:G6"/>
    <mergeCell ref="H3:K3"/>
    <mergeCell ref="L3:N3"/>
    <mergeCell ref="A3:A6"/>
    <mergeCell ref="B3:B6"/>
    <mergeCell ref="C3:C6"/>
    <mergeCell ref="D3:D6"/>
    <mergeCell ref="E3:E6"/>
  </mergeCells>
  <dataValidations count="2">
    <dataValidation type="whole" showDropDown="1" showInputMessage="1" showErrorMessage="1" errorTitle="Input Salah" error="Hanya boleh memasukkan angka antara 1 dan 100." promptTitle="Input Angka" prompt="Masukkan angka antara 1 dan 100." sqref="G7:G38" xr:uid="{00000000-0002-0000-0000-000000000000}">
      <formula1>1</formula1>
      <formula2>100</formula2>
    </dataValidation>
    <dataValidation type="list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7:K38" xr:uid="{00000000-0002-0000-0000-000001000000}">
      <formula1>"T,R"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acer mbcell</cp:lastModifiedBy>
  <dcterms:created xsi:type="dcterms:W3CDTF">2025-12-08T00:15:05Z</dcterms:created>
  <dcterms:modified xsi:type="dcterms:W3CDTF">2025-12-11T05:05:49Z</dcterms:modified>
  <cp:category/>
</cp:coreProperties>
</file>